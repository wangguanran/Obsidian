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1790"/>
  </bookViews>
  <sheets>
    <sheet name="sprd_lcd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<sst xmlns="http://schemas.openxmlformats.org/spreadsheetml/2006/main" count="45" uniqueCount="36">
  <si>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.hfp</t>
  </si>
  <si>
    <t>.hbp</t>
  </si>
  <si>
    <t>need_clock/2</t>
  </si>
  <si>
    <t>.hsync</t>
  </si>
  <si>
    <t>SPRDFB_DPI_CLOCK_SRC - dividor*need_clock</t>
  </si>
  <si>
    <t>Dpi_need_clk</t>
  </si>
  <si>
    <t>.vfp</t>
  </si>
  <si>
    <t>dividor</t>
  </si>
  <si>
    <t>.vbp</t>
  </si>
  <si>
    <t>Fps</t>
  </si>
  <si>
    <t>.vsync</t>
  </si>
  <si>
    <t>(SPRDFB_DPI_CLOCK_SRC - dividor*need_clock) &gt; (need_clock/2) 则 dividor+1</t>
  </si>
  <si>
    <t>.width</t>
  </si>
  <si>
    <t xml:space="preserve">.height </t>
  </si>
  <si>
    <t>mipi clk (M)</t>
  </si>
  <si>
    <t>(DPI_CLK_SRC/DEVIDOR)x 3x 8 bit &lt; phy_feq x lane_num x 0.9</t>
  </si>
  <si>
    <t xml:space="preserve">.fps </t>
  </si>
  <si>
    <t>.lan_number</t>
  </si>
  <si>
    <t>PS:9850(256M  log:) other(384M)</t>
  </si>
  <si>
    <t>SPRDFB_DPI_CLOCK_SRC</t>
  </si>
  <si>
    <t>[    2.400142] c1 sprd-adf:&lt;79&gt; [  dispc_clk_parse_dt] the dpi clock source from dts is 256000000</t>
  </si>
  <si>
    <t>比例</t>
  </si>
  <si>
    <t>ro.sf.lcd_density</t>
  </si>
  <si>
    <t>ro.sf.lcd_width</t>
  </si>
  <si>
    <t>mm</t>
  </si>
  <si>
    <t>ro.sf.lcd_height</t>
  </si>
  <si>
    <t>ldpi (low) ~120dpi</t>
  </si>
  <si>
    <r>
      <rPr>
        <sz val="11"/>
        <color theme="1"/>
        <rFont val="Arial Black"/>
        <charset val="134"/>
      </rPr>
      <t>inch(</t>
    </r>
    <r>
      <rPr>
        <sz val="11"/>
        <color theme="1"/>
        <rFont val="宋体"/>
        <charset val="134"/>
      </rPr>
      <t>对角</t>
    </r>
    <r>
      <rPr>
        <sz val="11"/>
        <color theme="1"/>
        <rFont val="Arial Black"/>
        <charset val="134"/>
      </rPr>
      <t>)</t>
    </r>
  </si>
  <si>
    <t>in：(1英寸)=2.54cm</t>
  </si>
  <si>
    <t>mdpi (medium) ~160dpi</t>
  </si>
  <si>
    <t>use</t>
  </si>
  <si>
    <t>hdpi (high) ~240dpi</t>
  </si>
  <si>
    <t>OR</t>
  </si>
  <si>
    <t>xhdpi (extra-high) ~320dpi</t>
  </si>
  <si>
    <t>xxhdpi (extra-extra-high) ~480dpi</t>
  </si>
  <si>
    <t xml:space="preserve">xxxhdpi (extra-extra-extra-high) ~640dpi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</si>
</sst>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2"/>
      <color rgb="FF00000A"/>
      <name val="Calibri"/>
      <charset val="134"/>
    </font>
    <font>
      <b/>
      <sz val="18"/>
      <color theme="1"/>
      <name val="Angsana New"/>
      <charset val="134"/>
    </font>
    <font>
      <sz val="12"/>
      <color theme="1"/>
      <name val="宋体"/>
      <charset val="134"/>
      <scheme val="minor"/>
    </font>
    <font>
      <sz val="12"/>
      <color rgb="FF00000A"/>
      <name val="Calibri"/>
      <charset val="134"/>
    </font>
    <font>
      <sz val="11"/>
      <color theme="1"/>
      <name val="叶根友毛笔行书2.0版"/>
      <charset val="134"/>
    </font>
    <font>
      <b/>
      <sz val="12"/>
      <color theme="0"/>
      <name val="Andalus"/>
      <charset val="134"/>
    </font>
    <font>
      <sz val="12"/>
      <color theme="1"/>
      <name val="Andalus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叶根友毛笔行书2.0版"/>
      <charset val="134"/>
    </font>
    <font>
      <sz val="11"/>
      <color theme="1"/>
      <name val="Andalus"/>
      <charset val="134"/>
    </font>
    <font>
      <sz val="12"/>
      <color rgb="FF800000"/>
      <name val="Times New Roman"/>
      <charset val="134"/>
    </font>
    <font>
      <b/>
      <sz val="16"/>
      <color theme="1"/>
      <name val="宋体"/>
      <charset val="134"/>
      <scheme val="minor"/>
    </font>
    <font>
      <b/>
      <sz val="12"/>
      <color theme="1"/>
      <name val="方正姚体"/>
      <charset val="134"/>
    </font>
    <font>
      <sz val="14"/>
      <color theme="1"/>
      <name val="Cooper Black"/>
      <charset val="134"/>
    </font>
    <font>
      <b/>
      <sz val="14"/>
      <color theme="1"/>
      <name val="Malgun Gothic Semilight"/>
      <charset val="134"/>
    </font>
    <font>
      <sz val="11"/>
      <color theme="1"/>
      <name val="Arial Black"/>
      <charset val="134"/>
    </font>
    <font>
      <b/>
      <sz val="12"/>
      <color theme="1"/>
      <name val="Bell MT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7" borderId="6" applyNumberFormat="0" applyAlignment="0" applyProtection="0">
      <alignment vertical="center"/>
    </xf>
    <xf numFmtId="0" fontId="28" fillId="18" borderId="7" applyNumberFormat="0" applyAlignment="0" applyProtection="0">
      <alignment vertical="center"/>
    </xf>
    <xf numFmtId="0" fontId="29" fillId="18" borderId="6" applyNumberFormat="0" applyAlignment="0" applyProtection="0">
      <alignment vertical="center"/>
    </xf>
    <xf numFmtId="0" fontId="30" fillId="19" borderId="8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>
      <alignment vertical="center"/>
    </xf>
    <xf numFmtId="0" fontId="4" fillId="4" borderId="1" xfId="0" applyFont="1" applyFill="1" applyBorder="1" applyAlignment="1">
      <alignment horizontal="right" vertical="center"/>
    </xf>
    <xf numFmtId="0" fontId="5" fillId="5" borderId="1" xfId="0" applyFont="1" applyFill="1" applyBorder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6" borderId="1" xfId="0" applyFont="1" applyFill="1" applyBorder="1" applyAlignment="1">
      <alignment horizontal="right" vertical="center"/>
    </xf>
    <xf numFmtId="0" fontId="6" fillId="7" borderId="1" xfId="0" applyFont="1" applyFill="1" applyBorder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1" fillId="6" borderId="0" xfId="0" applyFont="1" applyFill="1" applyAlignment="1">
      <alignment horizontal="right" vertical="center"/>
    </xf>
    <xf numFmtId="0" fontId="6" fillId="7" borderId="0" xfId="0" applyFont="1" applyFill="1">
      <alignment vertical="center"/>
    </xf>
    <xf numFmtId="0" fontId="11" fillId="0" borderId="0" xfId="0" applyFont="1" applyAlignment="1">
      <alignment horizontal="justify" vertical="center"/>
    </xf>
    <xf numFmtId="0" fontId="1" fillId="10" borderId="1" xfId="0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" fillId="11" borderId="1" xfId="0" applyFont="1" applyFill="1" applyBorder="1" applyAlignment="1">
      <alignment horizontal="right" vertical="center"/>
    </xf>
    <xf numFmtId="0" fontId="2" fillId="12" borderId="1" xfId="0" applyFont="1" applyFill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5" fillId="13" borderId="0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13" borderId="0" xfId="0" applyFill="1" applyBorder="1">
      <alignment vertical="center"/>
    </xf>
    <xf numFmtId="0" fontId="0" fillId="13" borderId="0" xfId="0" applyFill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6" fillId="14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0" fillId="15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16" fillId="13" borderId="1" xfId="0" applyFont="1" applyFill="1" applyBorder="1" applyAlignment="1">
      <alignment vertical="center"/>
    </xf>
    <xf numFmtId="0" fontId="18" fillId="6" borderId="1" xfId="0" applyFont="1" applyFill="1" applyBorder="1" applyAlignment="1">
      <alignment horizontal="center" vertical="center"/>
    </xf>
    <xf numFmtId="0" fontId="0" fillId="13" borderId="1" xfId="0" applyFill="1" applyBorder="1">
      <alignment vertical="center"/>
    </xf>
    <xf numFmtId="0" fontId="16" fillId="6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color theme="0"/>
      </font>
      <fill>
        <patternFill patternType="solid">
          <bgColor rgb="FFFF0000"/>
        </patternFill>
      </fill>
    </dxf>
    <dxf>
      <font>
        <b val="1"/>
        <i val="0"/>
        <color theme="1"/>
      </font>
      <fill>
        <patternFill patternType="solid">
          <bgColor rgb="FF00B05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zoomScale="85" zoomScaleNormal="85" workbookViewId="0">
      <selection activeCell="F11" sqref="F11"/>
    </sheetView>
  </sheetViews>
  <sheetFormatPr defaultColWidth="9" defaultRowHeight="13.5"/>
  <cols>
    <col min="1" max="1" width="23.75" customWidth="1"/>
    <col min="2" max="2" width="15.75" customWidth="1"/>
    <col min="3" max="3" width="20.125" customWidth="1"/>
    <col min="4" max="4" width="8.5" customWidth="1"/>
    <col min="5" max="5" width="23.875" customWidth="1"/>
    <col min="6" max="6" width="9.5" customWidth="1"/>
    <col min="7" max="7" width="58.25" customWidth="1"/>
    <col min="8" max="8" width="12.75" customWidth="1"/>
  </cols>
  <sheetData>
    <row r="1" ht="25.5" customHeight="1" spans="1:9">
      <c r="A1" s="1" t="s">
        <v>0</v>
      </c>
      <c r="B1" s="2">
        <v>30</v>
      </c>
      <c r="C1" s="3"/>
      <c r="D1" s="3"/>
      <c r="E1" s="3"/>
      <c r="F1" s="3"/>
      <c r="G1" s="3"/>
      <c r="H1" s="3"/>
      <c r="I1" s="3"/>
    </row>
    <row r="2" ht="25.5" customHeight="1" spans="1:9">
      <c r="A2" s="1" t="s">
        <v>1</v>
      </c>
      <c r="B2" s="2">
        <v>30</v>
      </c>
      <c r="C2" s="3"/>
      <c r="D2" s="3"/>
      <c r="E2" s="3"/>
      <c r="F2" s="3"/>
      <c r="G2" s="4" t="s">
        <v>2</v>
      </c>
      <c r="H2" s="5">
        <f>F4/2</f>
        <v>4850500</v>
      </c>
      <c r="I2" s="3"/>
    </row>
    <row r="3" ht="25.5" customHeight="1" spans="1:9">
      <c r="A3" s="1" t="s">
        <v>3</v>
      </c>
      <c r="B3" s="2">
        <v>16</v>
      </c>
      <c r="C3" s="3"/>
      <c r="D3" s="3"/>
      <c r="E3" s="3"/>
      <c r="F3" s="3"/>
      <c r="G3" s="4" t="s">
        <v>4</v>
      </c>
      <c r="H3" s="5">
        <f>B15-G5*F4</f>
        <v>1887000</v>
      </c>
      <c r="I3" s="3"/>
    </row>
    <row r="4" ht="25.5" customHeight="1" spans="1:9">
      <c r="A4" s="6"/>
      <c r="B4" s="7"/>
      <c r="C4" s="3"/>
      <c r="D4" s="3"/>
      <c r="E4" s="8" t="s">
        <v>5</v>
      </c>
      <c r="F4" s="9">
        <f>(B1+B2+B3+B9)*(B5+B6+B7+B10)*B12</f>
        <v>9701000</v>
      </c>
      <c r="G4" s="3"/>
      <c r="H4" s="10"/>
      <c r="I4" s="3"/>
    </row>
    <row r="5" ht="25.5" customHeight="1" spans="1:9">
      <c r="A5" s="1" t="s">
        <v>6</v>
      </c>
      <c r="B5" s="2">
        <v>17</v>
      </c>
      <c r="C5" s="3"/>
      <c r="D5" s="3"/>
      <c r="E5" s="8" t="s">
        <v>7</v>
      </c>
      <c r="F5" s="9">
        <f>IF(H2&gt;H3,G5,G5+1)</f>
        <v>13</v>
      </c>
      <c r="G5" s="3">
        <f>INT(B15/F4)</f>
        <v>13</v>
      </c>
      <c r="H5" s="10">
        <f>B15/F4</f>
        <v>13.1945160292753</v>
      </c>
      <c r="I5" s="3"/>
    </row>
    <row r="6" ht="25.5" customHeight="1" spans="1:9">
      <c r="A6" s="1" t="s">
        <v>8</v>
      </c>
      <c r="B6" s="2">
        <v>34</v>
      </c>
      <c r="C6" s="3"/>
      <c r="D6" s="3"/>
      <c r="E6" s="8" t="s">
        <v>9</v>
      </c>
      <c r="F6" s="9">
        <f>INT(H6)</f>
        <v>50</v>
      </c>
      <c r="G6" s="3">
        <f>INT(H6)</f>
        <v>50</v>
      </c>
      <c r="H6" s="10">
        <f>B15/F5/(B1+B2+B3+B9)/(B5+B6+B7+B10)</f>
        <v>50.7481385741359</v>
      </c>
      <c r="I6" s="3"/>
    </row>
    <row r="7" ht="25.5" customHeight="1" spans="1:9">
      <c r="A7" s="1" t="s">
        <v>10</v>
      </c>
      <c r="B7" s="2">
        <v>4</v>
      </c>
      <c r="C7" s="3"/>
      <c r="D7" s="3"/>
      <c r="E7" s="3"/>
      <c r="F7" s="11"/>
      <c r="I7" s="3"/>
    </row>
    <row r="8" ht="25.5" customHeight="1" spans="1:9">
      <c r="A8" s="12"/>
      <c r="B8" s="7"/>
      <c r="C8" s="3"/>
      <c r="D8" s="3"/>
      <c r="E8" s="13" t="s">
        <v>11</v>
      </c>
      <c r="F8" s="13"/>
      <c r="G8" s="13"/>
      <c r="H8" s="13"/>
      <c r="I8" s="3"/>
    </row>
    <row r="9" ht="25.5" customHeight="1" spans="1:9">
      <c r="A9" s="14" t="s">
        <v>12</v>
      </c>
      <c r="B9" s="15">
        <v>360</v>
      </c>
      <c r="C9" s="3"/>
      <c r="D9" s="3"/>
      <c r="E9" s="3"/>
      <c r="F9" s="11"/>
      <c r="G9" s="3"/>
      <c r="H9" s="3"/>
      <c r="I9" s="3"/>
    </row>
    <row r="10" ht="25.5" customHeight="1" spans="1:9">
      <c r="A10" s="14" t="s">
        <v>13</v>
      </c>
      <c r="B10" s="15">
        <v>390</v>
      </c>
      <c r="C10" s="3"/>
      <c r="D10" s="3"/>
      <c r="F10" s="16"/>
      <c r="I10" s="3"/>
    </row>
    <row r="11" ht="25.5" customHeight="1" spans="1:9">
      <c r="A11" s="3"/>
      <c r="B11" s="7"/>
      <c r="C11" s="3"/>
      <c r="D11" s="3"/>
      <c r="E11" s="17" t="s">
        <v>14</v>
      </c>
      <c r="F11" s="18">
        <f>INT(H11/1000000)</f>
        <v>262</v>
      </c>
      <c r="G11" s="19" t="s">
        <v>15</v>
      </c>
      <c r="H11" s="3">
        <f>(B15/F5)*3*8/0.9/B13</f>
        <v>262564102.564103</v>
      </c>
      <c r="I11" s="3"/>
    </row>
    <row r="12" ht="25.5" customHeight="1" spans="1:9">
      <c r="A12" s="20" t="s">
        <v>16</v>
      </c>
      <c r="B12" s="21">
        <v>50</v>
      </c>
      <c r="C12" s="3"/>
      <c r="D12" s="3"/>
      <c r="E12" s="3"/>
      <c r="I12" s="3"/>
    </row>
    <row r="13" ht="24.75" customHeight="1" spans="1:9">
      <c r="A13" s="20" t="s">
        <v>17</v>
      </c>
      <c r="B13" s="21">
        <v>1</v>
      </c>
      <c r="C13" s="3"/>
      <c r="D13" s="3"/>
      <c r="H13" s="22"/>
      <c r="I13" s="3"/>
    </row>
    <row r="14" ht="24.75" customHeight="1" spans="1:9">
      <c r="A14" s="3"/>
      <c r="B14" s="3"/>
      <c r="C14" s="23" t="s">
        <v>18</v>
      </c>
      <c r="D14" s="23"/>
      <c r="E14" s="23"/>
      <c r="F14" s="23"/>
      <c r="G14" s="23"/>
      <c r="H14" s="22"/>
      <c r="I14" s="3"/>
    </row>
    <row r="15" ht="24.75" customHeight="1" spans="1:9">
      <c r="A15" s="24" t="s">
        <v>19</v>
      </c>
      <c r="B15" s="25">
        <v>128000000</v>
      </c>
      <c r="C15" s="26" t="s">
        <v>20</v>
      </c>
      <c r="D15" s="27"/>
      <c r="E15" s="27"/>
      <c r="F15" s="27"/>
      <c r="G15" s="27"/>
      <c r="H15" s="3"/>
      <c r="I15" s="3"/>
    </row>
    <row r="16" ht="24.75" customHeight="1" spans="1:9">
      <c r="A16" s="3"/>
      <c r="B16" s="3"/>
      <c r="C16" s="3"/>
      <c r="D16" s="3"/>
      <c r="I16" s="3"/>
    </row>
    <row r="17" ht="24.75" customHeight="1" spans="2:9">
      <c r="B17" s="3"/>
      <c r="C17" s="3"/>
      <c r="D17" s="28" t="s">
        <v>21</v>
      </c>
      <c r="E17" s="29" t="s">
        <v>22</v>
      </c>
      <c r="F17" s="30"/>
      <c r="I17" s="3"/>
    </row>
    <row r="18" ht="25.5" customHeight="1" spans="1:6">
      <c r="A18" s="31" t="s">
        <v>23</v>
      </c>
      <c r="B18" s="32">
        <v>35</v>
      </c>
      <c r="C18" s="32" t="s">
        <v>24</v>
      </c>
      <c r="D18" s="33" t="str">
        <f>IF(ROUND(B18/B19,2)=ROUND(B9/B10,2),"OK","fail")</f>
        <v>OK</v>
      </c>
      <c r="E18" s="32">
        <f>((B9^2+B10^2)^(1/2))/B20</f>
        <v>260.947327406853</v>
      </c>
      <c r="F18" s="34"/>
    </row>
    <row r="19" ht="25.5" customHeight="1" spans="1:8">
      <c r="A19" s="31" t="s">
        <v>25</v>
      </c>
      <c r="B19" s="32">
        <v>38</v>
      </c>
      <c r="C19" s="32" t="s">
        <v>24</v>
      </c>
      <c r="D19" s="32"/>
      <c r="E19" s="32">
        <f>IF(E18&gt;120,IF(E18&gt;160,IF(E18&gt;240,IF(E18&gt;320,IF(E18&gt;480,IF(E18&gt;640,E18,640),480),320),240),160),120)</f>
        <v>320</v>
      </c>
      <c r="F19" s="35"/>
      <c r="G19" s="36" t="s">
        <v>26</v>
      </c>
      <c r="H19" s="37"/>
    </row>
    <row r="20" ht="25.5" customHeight="1" spans="1:8">
      <c r="A20" s="38" t="s">
        <v>27</v>
      </c>
      <c r="B20" s="32">
        <f>B21/(2.54*10)</f>
        <v>2.03395139418732</v>
      </c>
      <c r="C20" s="32" t="s">
        <v>28</v>
      </c>
      <c r="D20" s="32"/>
      <c r="E20" s="32">
        <f>IF(E18&lt;640,IF(E18&lt;480,IF(E18&lt;320,IF(E18&lt;240,IF(E18&lt;160,IF(E18&lt;120,E18,120),160),240),320),480),640)</f>
        <v>240</v>
      </c>
      <c r="F20" s="34"/>
      <c r="G20" s="36" t="s">
        <v>29</v>
      </c>
      <c r="H20" s="37"/>
    </row>
    <row r="21" ht="25.5" customHeight="1" spans="1:8">
      <c r="A21" s="38"/>
      <c r="B21" s="32">
        <f>POWER((POWER(B18,2)+POWER(B19,2)),1/2)</f>
        <v>51.662365412358</v>
      </c>
      <c r="C21" s="32" t="s">
        <v>24</v>
      </c>
      <c r="D21" s="39" t="s">
        <v>30</v>
      </c>
      <c r="E21" s="40">
        <f>IF((E19-E18)&gt;(E18-E20),E20,E19)</f>
        <v>240</v>
      </c>
      <c r="F21" s="34"/>
      <c r="G21" s="36" t="s">
        <v>31</v>
      </c>
      <c r="H21" s="37"/>
    </row>
    <row r="22" ht="25.5" customHeight="1" spans="1:8">
      <c r="A22" s="41" t="s">
        <v>32</v>
      </c>
      <c r="B22" s="41"/>
      <c r="C22" s="41"/>
      <c r="D22" s="41"/>
      <c r="F22" s="34"/>
      <c r="G22" s="36" t="s">
        <v>33</v>
      </c>
      <c r="H22" s="37"/>
    </row>
    <row r="23" ht="30.75" customHeight="1" spans="1:8">
      <c r="A23" s="42" t="s">
        <v>27</v>
      </c>
      <c r="B23" s="32">
        <v>4</v>
      </c>
      <c r="C23" s="32" t="s">
        <v>28</v>
      </c>
      <c r="D23" s="43">
        <f>B9/B10</f>
        <v>0.923076923076923</v>
      </c>
      <c r="E23" s="44">
        <f>((B9^2+B10^2)^(1/2))/B23</f>
        <v>132.688545097156</v>
      </c>
      <c r="F23" s="34"/>
      <c r="G23" s="36" t="s">
        <v>34</v>
      </c>
      <c r="H23" s="37"/>
    </row>
    <row r="24" ht="30.75" customHeight="1" spans="1:8">
      <c r="A24" s="45" t="s">
        <v>23</v>
      </c>
      <c r="B24" s="32">
        <f>B9/B10*B25</f>
        <v>68.9132584376795</v>
      </c>
      <c r="C24" s="32" t="s">
        <v>24</v>
      </c>
      <c r="D24" s="32"/>
      <c r="E24" s="44">
        <f>IF(E23&gt;120,IF(E23&gt;160,IF(E23&gt;240,IF(E23&gt;320,IF(E23&gt;480,IF(E23&gt;640,E23,640),480),320),240),160),120)</f>
        <v>160</v>
      </c>
      <c r="F24" s="35"/>
      <c r="G24" s="36" t="s">
        <v>35</v>
      </c>
      <c r="H24" s="37"/>
    </row>
    <row r="25" ht="30.75" customHeight="1" spans="1:6">
      <c r="A25" s="45" t="s">
        <v>25</v>
      </c>
      <c r="B25" s="32">
        <f>POWER(POWER((B23*25.4),2)/(1+POWER(B9/B10,2)),1/2)</f>
        <v>74.6560299741528</v>
      </c>
      <c r="C25" s="32" t="s">
        <v>24</v>
      </c>
      <c r="D25" s="32"/>
      <c r="E25" s="44">
        <f>IF(E23&lt;640,IF(E23&lt;480,IF(E23&lt;320,IF(E23&lt;240,IF(E23&lt;160,IF(E23&lt;120,E23,120),160),240),320),480),640)</f>
        <v>120</v>
      </c>
      <c r="F25" s="34"/>
    </row>
    <row r="26" ht="30.75" customHeight="1" spans="1:5">
      <c r="A26" s="32"/>
      <c r="B26" s="32"/>
      <c r="C26" s="32"/>
      <c r="D26" s="39" t="s">
        <v>30</v>
      </c>
      <c r="E26" s="40">
        <f>IF((E24-E23)&gt;(E23-E25),E25,E24)</f>
        <v>120</v>
      </c>
    </row>
  </sheetData>
  <sheetProtection password="F11F" sheet="1" objects="1" scenarios="1"/>
  <protectedRanges>
    <protectedRange sqref="B23 B19 B18" name="区域3"/>
    <protectedRange sqref="B1:B15" name="区域1"/>
  </protectedRanges>
  <mergeCells count="4">
    <mergeCell ref="E8:H8"/>
    <mergeCell ref="C14:G14"/>
    <mergeCell ref="A22:D22"/>
    <mergeCell ref="A20:A21"/>
  </mergeCells>
  <conditionalFormatting sqref="D18">
    <cfRule type="expression" dxfId="0" priority="1" stopIfTrue="1">
      <formula>NOT(ISERROR(SEARCH("fail",D18)))</formula>
    </cfRule>
    <cfRule type="expression" dxfId="1" priority="2" stopIfTrue="1">
      <formula>NOT(ISERROR(SEARCH("ok",D18)))</formula>
    </cfRule>
  </conditionalFormatting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3" sqref="D23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3" rangeCreator="" othersAccessPermission="edit"/>
    <arrUserId title="区域1" rangeCreator="" othersAccessPermission="edit"/>
  </rangeList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sprd_lcd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250682</cp:lastModifiedBy>
  <dcterms:created xsi:type="dcterms:W3CDTF">2017-11-16T03:32:00Z</dcterms:created>
  <dcterms:modified xsi:type="dcterms:W3CDTF">2025-08-07T07:35:40Z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2AAB82BA309842BBBA3913951FE14BBE_12</vt:lpwstr>
  </property>
</Properties>
</file>