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eihui.zhang\Desktop\"/>
    </mc:Choice>
  </mc:AlternateContent>
  <workbookProtection workbookAlgorithmName="SHA-512" workbookHashValue="PtCtoLdoKeinWl6KqvH5nIyeFsT5tE/jMsEYO2HLvScmLOU6t/YQKmDjQ+mZWO+bWSJRbbPxKsOsxp2ZZ93qGw==" workbookSaltValue="Ic+Zexla0/SaFCua7nx/nA==" workbookSpinCount="100000" lockStructure="1"/>
  <bookViews>
    <workbookView xWindow="0" yWindow="0" windowWidth="2160" windowHeight="0" activeTab="2"/>
  </bookViews>
  <sheets>
    <sheet name="lcd(mipi) main" sheetId="1" r:id="rId1"/>
    <sheet name="lcd(mipi) legacy" sheetId="4" r:id="rId2"/>
    <sheet name="使用说明" sheetId="2" r:id="rId3"/>
    <sheet name="monitor" sheetId="7" state="hidden" r:id="rId4"/>
    <sheet name="spec" sheetId="5" state="hidden" r:id="rId5"/>
    <sheet name="data" sheetId="6" state="hidden" r:id="rId6"/>
    <sheet name="history" sheetId="9" state="hidden" r:id="rId7"/>
  </sheets>
  <definedNames>
    <definedName name="_xlnm._FilterDatabase" localSheetId="0" hidden="1">'lcd(mipi) main'!$D$5:$E$8</definedName>
    <definedName name="intel_phyfeq">#REF!</definedName>
    <definedName name="product_6_7">spec!$A$58:$A$62</definedName>
    <definedName name="product_6_7_8">spec!$D$58:$D$63</definedName>
    <definedName name="product_8.1">spec!$D$58:$D$63</definedName>
    <definedName name="product_all">spec!$G$58:$G$65</definedName>
    <definedName name="product_main">spec!$G$63:$G$68</definedName>
    <definedName name="sc7731c">spec!$B$3</definedName>
    <definedName name="sc7731e">spec!$B$8:$F$8</definedName>
    <definedName name="sc7731g">spec!$B$5</definedName>
    <definedName name="sc9832a">spec!$B$5</definedName>
    <definedName name="sc9832e">spec!$B$9:$D$9</definedName>
    <definedName name="sc9850k">spec!$B$6:$E$6</definedName>
    <definedName name="sc9853i">spec!$B$7:$E$7</definedName>
    <definedName name="sc9863a">spec!$B$10:$D$10</definedName>
    <definedName name="ums312_dpi">spec!$B$11:$D$11</definedName>
    <definedName name="UMS52_DPI">spec!$B$13:$G$13</definedName>
  </definedNames>
  <calcPr calcId="162913"/>
</workbook>
</file>

<file path=xl/calcChain.xml><?xml version="1.0" encoding="utf-8"?>
<calcChain xmlns="http://schemas.openxmlformats.org/spreadsheetml/2006/main">
  <c r="B47" i="6" l="1"/>
  <c r="D47" i="6" s="1"/>
  <c r="B15" i="6" l="1"/>
  <c r="D15" i="6" l="1"/>
  <c r="C15" i="6"/>
  <c r="L23" i="2"/>
  <c r="B71" i="7" l="1"/>
  <c r="B74" i="6" s="1"/>
  <c r="B70" i="7"/>
  <c r="B72" i="6" s="1"/>
  <c r="H81" i="6"/>
  <c r="H82" i="6" s="1"/>
  <c r="B41" i="7"/>
  <c r="B42" i="6" s="1"/>
  <c r="B40" i="7"/>
  <c r="B40" i="6" s="1"/>
  <c r="B11" i="7"/>
  <c r="B10" i="6" s="1"/>
  <c r="B10" i="7"/>
  <c r="B8" i="6" s="1"/>
  <c r="B65" i="7"/>
  <c r="B69" i="6" s="1"/>
  <c r="B63" i="7"/>
  <c r="A57" i="5" s="1"/>
  <c r="B64" i="5" s="1"/>
  <c r="B72" i="7"/>
  <c r="B70" i="6" s="1"/>
  <c r="H51" i="6"/>
  <c r="H52" i="6" s="1"/>
  <c r="C72" i="6" l="1"/>
  <c r="D72" i="6" s="1"/>
  <c r="E72" i="6" s="1"/>
  <c r="F72" i="6" s="1"/>
  <c r="G72" i="6" s="1"/>
  <c r="H72" i="6" s="1"/>
  <c r="B67" i="6"/>
  <c r="H83" i="6"/>
  <c r="H84" i="6" s="1"/>
  <c r="B61" i="5"/>
  <c r="B65" i="5"/>
  <c r="B58" i="5"/>
  <c r="B62" i="5"/>
  <c r="B59" i="5"/>
  <c r="B63" i="5"/>
  <c r="B60" i="5"/>
  <c r="F21" i="1"/>
  <c r="F26" i="1"/>
  <c r="B35" i="7"/>
  <c r="B37" i="6" s="1"/>
  <c r="B33" i="7"/>
  <c r="B35" i="6" s="1"/>
  <c r="C47" i="6" s="1"/>
  <c r="N39" i="6" s="1"/>
  <c r="B5" i="7"/>
  <c r="B5" i="6" s="1"/>
  <c r="B3" i="7"/>
  <c r="B76" i="6" l="1"/>
  <c r="C74" i="6"/>
  <c r="D74" i="6" s="1"/>
  <c r="G57" i="5"/>
  <c r="B3" i="6"/>
  <c r="M8" i="6" s="1"/>
  <c r="N8" i="6" s="1"/>
  <c r="D57" i="5"/>
  <c r="H79" i="5" l="1"/>
  <c r="H75" i="5"/>
  <c r="H77" i="5"/>
  <c r="H78" i="5"/>
  <c r="H74" i="5"/>
  <c r="H76" i="5"/>
  <c r="M7" i="6"/>
  <c r="N7" i="6" s="1"/>
  <c r="E64" i="5"/>
  <c r="E63" i="5"/>
  <c r="H65" i="5"/>
  <c r="H73" i="5"/>
  <c r="H69" i="5"/>
  <c r="H68" i="5"/>
  <c r="H66" i="5"/>
  <c r="H72" i="5"/>
  <c r="H67" i="5"/>
  <c r="H71" i="5"/>
  <c r="H70" i="5"/>
  <c r="N70" i="6"/>
  <c r="C76" i="6"/>
  <c r="D76" i="6"/>
  <c r="H64" i="5"/>
  <c r="H58" i="5"/>
  <c r="H62" i="5"/>
  <c r="H60" i="5"/>
  <c r="H59" i="5"/>
  <c r="H61" i="5"/>
  <c r="H63" i="5"/>
  <c r="E60" i="5"/>
  <c r="E58" i="5"/>
  <c r="E65" i="5"/>
  <c r="E59" i="5"/>
  <c r="E62" i="5"/>
  <c r="E61" i="5"/>
  <c r="J23" i="2"/>
  <c r="L22" i="2"/>
  <c r="J22" i="2"/>
  <c r="L21" i="2"/>
  <c r="J21" i="2"/>
  <c r="G18" i="2"/>
  <c r="K15" i="2"/>
  <c r="J12" i="2"/>
  <c r="G13" i="1"/>
  <c r="G12" i="1"/>
  <c r="G11" i="1"/>
  <c r="E13" i="1"/>
  <c r="E12" i="1"/>
  <c r="E11" i="1"/>
  <c r="G13" i="4"/>
  <c r="G12" i="4"/>
  <c r="G11" i="4"/>
  <c r="E13" i="4"/>
  <c r="E12" i="4"/>
  <c r="E11" i="4"/>
  <c r="H57" i="5" l="1"/>
  <c r="C3" i="7" s="1"/>
  <c r="E57" i="5"/>
  <c r="C33" i="7" s="1"/>
  <c r="A18" i="4"/>
  <c r="A17" i="4"/>
  <c r="B8" i="4"/>
  <c r="E2" i="4"/>
  <c r="D3" i="7" l="1"/>
  <c r="D3" i="6" s="1"/>
  <c r="C21" i="1" s="1"/>
  <c r="I7" i="7"/>
  <c r="G3" i="6" s="1"/>
  <c r="B27" i="1" s="1"/>
  <c r="C35" i="6"/>
  <c r="I40" i="6" s="1"/>
  <c r="D33" i="7"/>
  <c r="D35" i="6" s="1"/>
  <c r="B37" i="7"/>
  <c r="B51" i="6" s="1"/>
  <c r="C5" i="7"/>
  <c r="C5" i="6" s="1"/>
  <c r="N3" i="6" s="1"/>
  <c r="H7" i="7"/>
  <c r="H19" i="6" s="1"/>
  <c r="H20" i="6" s="1"/>
  <c r="D7" i="7"/>
  <c r="D19" i="6" s="1"/>
  <c r="F7" i="7"/>
  <c r="F19" i="6" s="1"/>
  <c r="E7" i="7"/>
  <c r="E19" i="6" s="1"/>
  <c r="G7" i="7"/>
  <c r="G19" i="6" s="1"/>
  <c r="G20" i="6" s="1"/>
  <c r="C7" i="7"/>
  <c r="C19" i="6" s="1"/>
  <c r="B9" i="7"/>
  <c r="E13" i="6" s="1"/>
  <c r="B7" i="7"/>
  <c r="B19" i="6" s="1"/>
  <c r="B42" i="7"/>
  <c r="B38" i="6" s="1"/>
  <c r="C3" i="6"/>
  <c r="G37" i="7"/>
  <c r="G51" i="6" s="1"/>
  <c r="G52" i="6" s="1"/>
  <c r="D37" i="7"/>
  <c r="D51" i="6" s="1"/>
  <c r="F37" i="7"/>
  <c r="F51" i="6" s="1"/>
  <c r="C37" i="7"/>
  <c r="C51" i="6" s="1"/>
  <c r="C35" i="7"/>
  <c r="C37" i="6" s="1"/>
  <c r="N35" i="6" s="1"/>
  <c r="E37" i="7"/>
  <c r="E51" i="6" s="1"/>
  <c r="B39" i="7"/>
  <c r="E44" i="6" s="1"/>
  <c r="G53" i="6" l="1"/>
  <c r="G54" i="6" s="1"/>
  <c r="C40" i="6"/>
  <c r="B52" i="6" s="1"/>
  <c r="B53" i="6" s="1"/>
  <c r="B54" i="6" s="1"/>
  <c r="H53" i="6"/>
  <c r="H54" i="6" s="1"/>
  <c r="A13" i="4"/>
  <c r="F5" i="4"/>
  <c r="D52" i="6" l="1"/>
  <c r="D53" i="6" s="1"/>
  <c r="D54" i="6" s="1"/>
  <c r="F52" i="6"/>
  <c r="F53" i="6" s="1"/>
  <c r="F54" i="6" s="1"/>
  <c r="E52" i="6"/>
  <c r="E53" i="6" s="1"/>
  <c r="E54" i="6" s="1"/>
  <c r="D40" i="6"/>
  <c r="C52" i="6"/>
  <c r="C53" i="6" s="1"/>
  <c r="C54" i="6" s="1"/>
  <c r="E40" i="6" l="1"/>
  <c r="F40" i="6" s="1"/>
  <c r="G40" i="6" s="1"/>
  <c r="H40" i="6" s="1"/>
  <c r="I54" i="6"/>
  <c r="B55" i="6" s="1"/>
  <c r="B13" i="4" l="1"/>
  <c r="B44" i="6"/>
  <c r="D44" i="6" s="1"/>
  <c r="B12" i="4" s="1"/>
  <c r="C42" i="6"/>
  <c r="D42" i="6" s="1"/>
  <c r="B11" i="4" s="1"/>
  <c r="G55" i="6"/>
  <c r="D55" i="6"/>
  <c r="F55" i="6"/>
  <c r="E55" i="6"/>
  <c r="H55" i="6"/>
  <c r="C55" i="6"/>
  <c r="B8" i="1"/>
  <c r="E2" i="1"/>
  <c r="N36" i="6" l="1"/>
  <c r="C44" i="6"/>
  <c r="N38" i="6"/>
  <c r="B12" i="7"/>
  <c r="B6" i="6" s="1"/>
  <c r="H21" i="6" s="1"/>
  <c r="H22" i="6" s="1"/>
  <c r="I55" i="6"/>
  <c r="I53" i="6" s="1"/>
  <c r="E42" i="6" s="1"/>
  <c r="F42" i="6" s="1"/>
  <c r="N37" i="6" s="1"/>
  <c r="I51" i="6" l="1"/>
  <c r="I52" i="6"/>
  <c r="B45" i="6" s="1"/>
  <c r="D45" i="6" s="1"/>
  <c r="C8" i="6"/>
  <c r="G21" i="6"/>
  <c r="G22" i="6" s="1"/>
  <c r="C20" i="6" l="1"/>
  <c r="C21" i="6" s="1"/>
  <c r="C22" i="6" s="1"/>
  <c r="C45" i="6"/>
  <c r="D8" i="6"/>
  <c r="B20" i="6"/>
  <c r="B21" i="6" s="1"/>
  <c r="B22" i="6" s="1"/>
  <c r="D20" i="6"/>
  <c r="D21" i="6" s="1"/>
  <c r="D22" i="6" s="1"/>
  <c r="E20" i="6"/>
  <c r="E21" i="6" s="1"/>
  <c r="E22" i="6" s="1"/>
  <c r="F20" i="6"/>
  <c r="F21" i="6" s="1"/>
  <c r="F22" i="6" s="1"/>
  <c r="E8" i="6" l="1"/>
  <c r="F8" i="6" s="1"/>
  <c r="G8" i="6" s="1"/>
  <c r="H8" i="6" s="1"/>
  <c r="I22" i="6"/>
  <c r="H23" i="6" s="1"/>
  <c r="F25" i="1" l="1"/>
  <c r="B12" i="6"/>
  <c r="C12" i="6" s="1"/>
  <c r="C10" i="6"/>
  <c r="N6" i="6"/>
  <c r="C23" i="6"/>
  <c r="F23" i="6"/>
  <c r="B23" i="6"/>
  <c r="E23" i="6"/>
  <c r="G23" i="6"/>
  <c r="D23" i="6"/>
  <c r="D12" i="6" l="1"/>
  <c r="I23" i="6"/>
  <c r="I19" i="6" s="1"/>
  <c r="B26" i="1" s="1"/>
  <c r="F12" i="6" l="1"/>
  <c r="F24" i="1" s="1"/>
  <c r="I21" i="6"/>
  <c r="E10" i="6" s="1"/>
  <c r="I20" i="6"/>
  <c r="B25" i="1" s="1"/>
  <c r="B13" i="1" s="1"/>
  <c r="G10" i="6" l="1"/>
  <c r="C23" i="1" s="1"/>
  <c r="C11" i="1" s="1"/>
  <c r="F10" i="6"/>
  <c r="N5" i="6" s="1"/>
  <c r="D10" i="6"/>
  <c r="F23" i="1" s="1"/>
  <c r="B13" i="6"/>
  <c r="D13" i="6" s="1"/>
  <c r="N4" i="6" s="1"/>
  <c r="B23" i="1" l="1"/>
  <c r="B11" i="1" s="1"/>
  <c r="N2" i="6"/>
  <c r="O2" i="6" s="1"/>
  <c r="F13" i="6"/>
  <c r="B24" i="1" s="1"/>
  <c r="B12" i="1" s="1"/>
  <c r="C13" i="6"/>
  <c r="B57" i="5"/>
  <c r="C63" i="7" s="1"/>
  <c r="Q2" i="6" l="1"/>
  <c r="D17" i="6" s="1"/>
  <c r="B15" i="1" s="1"/>
  <c r="B17" i="6"/>
  <c r="P2" i="6"/>
  <c r="C17" i="6" s="1"/>
  <c r="A15" i="1" s="1"/>
  <c r="C67" i="6"/>
  <c r="D63" i="7"/>
  <c r="D67" i="6" s="1"/>
  <c r="E67" i="7"/>
  <c r="E81" i="6" s="1"/>
  <c r="E82" i="6" s="1"/>
  <c r="E83" i="6" s="1"/>
  <c r="E84" i="6" s="1"/>
  <c r="C65" i="7"/>
  <c r="B69" i="7"/>
  <c r="E76" i="6" s="1"/>
  <c r="N68" i="6" s="1"/>
  <c r="D67" i="7"/>
  <c r="D81" i="6" s="1"/>
  <c r="D82" i="6" s="1"/>
  <c r="D83" i="6" s="1"/>
  <c r="D84" i="6" s="1"/>
  <c r="G67" i="7"/>
  <c r="G81" i="6" s="1"/>
  <c r="G82" i="6" s="1"/>
  <c r="G83" i="6" s="1"/>
  <c r="G84" i="6" s="1"/>
  <c r="C67" i="7"/>
  <c r="C81" i="6" s="1"/>
  <c r="C82" i="6" s="1"/>
  <c r="C83" i="6" s="1"/>
  <c r="C84" i="6" s="1"/>
  <c r="F67" i="7"/>
  <c r="F81" i="6" s="1"/>
  <c r="F82" i="6" s="1"/>
  <c r="F83" i="6" s="1"/>
  <c r="F84" i="6" s="1"/>
  <c r="B67" i="7"/>
  <c r="B81" i="6" s="1"/>
  <c r="B82" i="6" s="1"/>
  <c r="B83" i="6" s="1"/>
  <c r="B84" i="6" s="1"/>
  <c r="I84" i="6" l="1"/>
  <c r="F85" i="6" s="1"/>
  <c r="C69" i="6"/>
  <c r="N67" i="6" s="1"/>
  <c r="C85" i="6" l="1"/>
  <c r="D85" i="6"/>
  <c r="H85" i="6"/>
  <c r="E85" i="6"/>
  <c r="G85" i="6"/>
  <c r="B85" i="6"/>
  <c r="I85" i="6" l="1"/>
  <c r="I82" i="6" s="1"/>
  <c r="B77" i="6" s="1"/>
  <c r="C77" i="6" s="1"/>
  <c r="D77" i="6" l="1"/>
  <c r="I83" i="6"/>
  <c r="E74" i="6" s="1"/>
  <c r="F74" i="6" s="1"/>
  <c r="N69" i="6" s="1"/>
  <c r="N66" i="6" s="1"/>
  <c r="O66" i="6" s="1"/>
  <c r="B79" i="6" s="1"/>
  <c r="I81" i="6"/>
  <c r="Q66" i="6" l="1"/>
  <c r="D79" i="6" s="1"/>
  <c r="P66" i="6"/>
  <c r="C79" i="6" s="1"/>
  <c r="N34" i="6"/>
  <c r="O34" i="6" s="1"/>
  <c r="P34" i="6" l="1"/>
  <c r="C49" i="6" s="1"/>
  <c r="A15" i="4" s="1"/>
  <c r="Q34" i="6"/>
  <c r="D49" i="6" s="1"/>
  <c r="B15" i="4" s="1"/>
  <c r="B49" i="6"/>
</calcChain>
</file>

<file path=xl/comments1.xml><?xml version="1.0" encoding="utf-8"?>
<comments xmlns="http://schemas.openxmlformats.org/spreadsheetml/2006/main">
  <authors>
    <author>Wei, Evin (危利刚)</author>
    <author>作者</author>
  </authors>
  <commentLis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Wei, Evin (危利刚):</t>
        </r>
        <r>
          <rPr>
            <sz val="9"/>
            <color indexed="81"/>
            <rFont val="宋体"/>
            <family val="3"/>
            <charset val="134"/>
          </rPr>
          <t xml:space="preserve">
保留小数点，供参考。</t>
        </r>
      </text>
    </comment>
    <comment ref="B12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evin.wei:
此值为参考值，其高于实际的理论值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evin.wei：
默认不需要选择，如果选择其他值，软件需要同步修改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evin.wei:
此值为参考值，其高于实际的理论值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evin.wei:
最大可支持7个clk_src</t>
        </r>
      </text>
    </comment>
  </commentList>
</comments>
</file>

<file path=xl/comments4.xml><?xml version="1.0" encoding="utf-8"?>
<comments xmlns="http://schemas.openxmlformats.org/spreadsheetml/2006/main">
  <authors>
    <author>Wei, Evin (危利刚)</author>
  </authors>
  <commentLis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Wei, Evin (危利刚):</t>
        </r>
        <r>
          <rPr>
            <sz val="9"/>
            <color indexed="81"/>
            <rFont val="宋体"/>
            <family val="3"/>
            <charset val="134"/>
          </rPr>
          <t xml:space="preserve">
1:need check
88:N0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Wei, Evin (危利刚):</t>
        </r>
        <r>
          <rPr>
            <sz val="9"/>
            <color indexed="81"/>
            <rFont val="宋体"/>
            <family val="3"/>
            <charset val="134"/>
          </rPr>
          <t xml:space="preserve">
88:NO</t>
        </r>
      </text>
    </comment>
    <comment ref="C47" authorId="0" shapeId="0">
      <text>
        <r>
          <rPr>
            <b/>
            <sz val="9"/>
            <color indexed="81"/>
            <rFont val="宋体"/>
            <family val="3"/>
            <charset val="134"/>
          </rPr>
          <t>Wei, Evin (危利刚):</t>
        </r>
        <r>
          <rPr>
            <sz val="9"/>
            <color indexed="81"/>
            <rFont val="宋体"/>
            <family val="3"/>
            <charset val="134"/>
          </rPr>
          <t xml:space="preserve">
1:need check
88:N0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Wei, Evin (危利刚):</t>
        </r>
        <r>
          <rPr>
            <sz val="9"/>
            <color indexed="81"/>
            <rFont val="宋体"/>
            <family val="3"/>
            <charset val="134"/>
          </rPr>
          <t xml:space="preserve">
88:NO</t>
        </r>
      </text>
    </comment>
  </commentList>
</comments>
</file>

<file path=xl/sharedStrings.xml><?xml version="1.0" encoding="utf-8"?>
<sst xmlns="http://schemas.openxmlformats.org/spreadsheetml/2006/main" count="510" uniqueCount="248">
  <si>
    <t>hbp</t>
    <phoneticPr fontId="1" type="noConversion"/>
  </si>
  <si>
    <t>width</t>
    <phoneticPr fontId="1" type="noConversion"/>
  </si>
  <si>
    <t>hsync</t>
    <phoneticPr fontId="1" type="noConversion"/>
  </si>
  <si>
    <t>vbp</t>
    <phoneticPr fontId="1" type="noConversion"/>
  </si>
  <si>
    <t>product</t>
  </si>
  <si>
    <t>hfp</t>
    <phoneticPr fontId="1" type="noConversion"/>
  </si>
  <si>
    <t>W</t>
    <phoneticPr fontId="1" type="noConversion"/>
  </si>
  <si>
    <t>product</t>
    <phoneticPr fontId="1" type="noConversion"/>
  </si>
  <si>
    <t>dpi_clk_src</t>
    <phoneticPr fontId="1" type="noConversion"/>
  </si>
  <si>
    <t>height</t>
    <phoneticPr fontId="1" type="noConversion"/>
  </si>
  <si>
    <t>vfp</t>
    <phoneticPr fontId="1" type="noConversion"/>
  </si>
  <si>
    <t>vsync</t>
    <phoneticPr fontId="1" type="noConversion"/>
  </si>
  <si>
    <t>lan_number</t>
    <phoneticPr fontId="1" type="noConversion"/>
  </si>
  <si>
    <t>H</t>
    <phoneticPr fontId="1" type="noConversion"/>
  </si>
  <si>
    <t>phy_feq</t>
    <phoneticPr fontId="1" type="noConversion"/>
  </si>
  <si>
    <t>phy_feq</t>
    <phoneticPr fontId="1" type="noConversion"/>
  </si>
  <si>
    <t>*1000</t>
    <phoneticPr fontId="1" type="noConversion"/>
  </si>
  <si>
    <r>
      <t>fps</t>
    </r>
    <r>
      <rPr>
        <b/>
        <sz val="12"/>
        <color theme="1"/>
        <rFont val="Microsoft YaHei UI Light"/>
        <family val="2"/>
        <charset val="134"/>
      </rPr>
      <t>(期望帧率)</t>
    </r>
    <phoneticPr fontId="1" type="noConversion"/>
  </si>
  <si>
    <t>计算结果：</t>
    <phoneticPr fontId="1" type="noConversion"/>
  </si>
  <si>
    <r>
      <t>fps</t>
    </r>
    <r>
      <rPr>
        <b/>
        <sz val="12"/>
        <color theme="0"/>
        <rFont val="Microsoft YaHei UI Light"/>
        <family val="2"/>
        <charset val="134"/>
      </rPr>
      <t>(实际帧率)</t>
    </r>
    <phoneticPr fontId="1" type="noConversion"/>
  </si>
  <si>
    <t>hbp</t>
    <phoneticPr fontId="1" type="noConversion"/>
  </si>
  <si>
    <t>hsync</t>
    <phoneticPr fontId="1" type="noConversion"/>
  </si>
  <si>
    <t>W</t>
    <phoneticPr fontId="1" type="noConversion"/>
  </si>
  <si>
    <t>计算结果：</t>
    <phoneticPr fontId="1" type="noConversion"/>
  </si>
  <si>
    <t>data lane</t>
    <phoneticPr fontId="1" type="noConversion"/>
  </si>
  <si>
    <t>resolution</t>
    <phoneticPr fontId="1" type="noConversion"/>
  </si>
  <si>
    <t>1Gbps</t>
    <phoneticPr fontId="1" type="noConversion"/>
  </si>
  <si>
    <t>WxGA(1280x800)</t>
    <phoneticPr fontId="1" type="noConversion"/>
  </si>
  <si>
    <t>qHD(960x540)</t>
    <phoneticPr fontId="1" type="noConversion"/>
  </si>
  <si>
    <t>1.5Gbps per lane</t>
    <phoneticPr fontId="1" type="noConversion"/>
  </si>
  <si>
    <t>Dual 4</t>
    <phoneticPr fontId="1" type="noConversion"/>
  </si>
  <si>
    <t>FHD(1920x1080)</t>
    <phoneticPr fontId="1" type="noConversion"/>
  </si>
  <si>
    <t>FHD+(2160x1080)</t>
    <phoneticPr fontId="1" type="noConversion"/>
  </si>
  <si>
    <t>dpi_clk_src</t>
    <phoneticPr fontId="1" type="noConversion"/>
  </si>
  <si>
    <t>dpi_clk_src</t>
    <phoneticPr fontId="1" type="noConversion"/>
  </si>
  <si>
    <t>1Gbps</t>
    <phoneticPr fontId="1" type="noConversion"/>
  </si>
  <si>
    <t>name</t>
    <phoneticPr fontId="1" type="noConversion"/>
  </si>
  <si>
    <t>sn</t>
    <phoneticPr fontId="1" type="noConversion"/>
  </si>
  <si>
    <t>product</t>
    <phoneticPr fontId="1" type="noConversion"/>
  </si>
  <si>
    <t>num</t>
    <phoneticPr fontId="1" type="noConversion"/>
  </si>
  <si>
    <t>phy_feq</t>
    <phoneticPr fontId="1" type="noConversion"/>
  </si>
  <si>
    <t>max</t>
    <phoneticPr fontId="1" type="noConversion"/>
  </si>
  <si>
    <t>x1.1</t>
    <phoneticPr fontId="1" type="noConversion"/>
  </si>
  <si>
    <t>x1.2</t>
    <phoneticPr fontId="1" type="noConversion"/>
  </si>
  <si>
    <t>x1</t>
    <phoneticPr fontId="1" type="noConversion"/>
  </si>
  <si>
    <t>pixel_clk</t>
    <phoneticPr fontId="1" type="noConversion"/>
  </si>
  <si>
    <t>clk(ex)</t>
    <phoneticPr fontId="1" type="noConversion"/>
  </si>
  <si>
    <t>div(ex)</t>
    <phoneticPr fontId="1" type="noConversion"/>
  </si>
  <si>
    <t>clk(real)</t>
    <phoneticPr fontId="1" type="noConversion"/>
  </si>
  <si>
    <t>max</t>
    <phoneticPr fontId="1" type="noConversion"/>
  </si>
  <si>
    <t>div(real)</t>
    <phoneticPr fontId="1" type="noConversion"/>
  </si>
  <si>
    <t>fps</t>
    <phoneticPr fontId="1" type="noConversion"/>
  </si>
  <si>
    <t>fps(ex)</t>
    <phoneticPr fontId="1" type="noConversion"/>
  </si>
  <si>
    <t>pixel_total</t>
    <phoneticPr fontId="1" type="noConversion"/>
  </si>
  <si>
    <t>warning</t>
    <phoneticPr fontId="1" type="noConversion"/>
  </si>
  <si>
    <t>type</t>
    <phoneticPr fontId="1" type="noConversion"/>
  </si>
  <si>
    <t>description</t>
    <phoneticPr fontId="1" type="noConversion"/>
  </si>
  <si>
    <t>lan_number超出了限制</t>
    <phoneticPr fontId="1" type="noConversion"/>
  </si>
  <si>
    <t>Error</t>
    <phoneticPr fontId="1" type="noConversion"/>
  </si>
  <si>
    <t>需要的速率超过限制,请检查参数填写是否正确，否则请降低fps(期望帧率)或调整proch</t>
    <phoneticPr fontId="1" type="noConversion"/>
  </si>
  <si>
    <t>Warning</t>
    <phoneticPr fontId="1" type="noConversion"/>
  </si>
  <si>
    <t>当前的配置不能达到fps(期望帧率)，如需达到fps(期望帧率)请调整proch值，否则请忽略此警告并使用fps(实际帧率)值</t>
    <phoneticPr fontId="1" type="noConversion"/>
  </si>
  <si>
    <t>当前的配置不能达到fps(期望帧率)，如需达到fps(期望帧率)请调整proch值/pixels_clksrc，否则请忽略此警告并使用fps(实际帧率)值</t>
    <phoneticPr fontId="1" type="noConversion"/>
  </si>
  <si>
    <t>num</t>
    <phoneticPr fontId="1" type="noConversion"/>
  </si>
  <si>
    <t>type</t>
    <phoneticPr fontId="1" type="noConversion"/>
  </si>
  <si>
    <t>dec</t>
    <phoneticPr fontId="1" type="noConversion"/>
  </si>
  <si>
    <t>name</t>
    <phoneticPr fontId="1" type="noConversion"/>
  </si>
  <si>
    <t>state</t>
    <phoneticPr fontId="1" type="noConversion"/>
  </si>
  <si>
    <t>priority</t>
    <phoneticPr fontId="1" type="noConversion"/>
  </si>
  <si>
    <t>phy_feq check</t>
    <phoneticPr fontId="1" type="noConversion"/>
  </si>
  <si>
    <t>lan check</t>
    <phoneticPr fontId="1" type="noConversion"/>
  </si>
  <si>
    <t>reslut</t>
    <phoneticPr fontId="1" type="noConversion"/>
  </si>
  <si>
    <t>flag</t>
    <phoneticPr fontId="1" type="noConversion"/>
  </si>
  <si>
    <t>fps check</t>
    <phoneticPr fontId="1" type="noConversion"/>
  </si>
  <si>
    <t>dpi_default</t>
    <phoneticPr fontId="1" type="noConversion"/>
  </si>
  <si>
    <t>SC9832A</t>
    <phoneticPr fontId="1" type="noConversion"/>
  </si>
  <si>
    <t>SC9850K</t>
    <phoneticPr fontId="1" type="noConversion"/>
  </si>
  <si>
    <t>SC9853I</t>
    <phoneticPr fontId="1" type="noConversion"/>
  </si>
  <si>
    <t>SC7731E</t>
    <phoneticPr fontId="1" type="noConversion"/>
  </si>
  <si>
    <t>SC9832E</t>
    <phoneticPr fontId="1" type="noConversion"/>
  </si>
  <si>
    <t>SC9863A</t>
    <phoneticPr fontId="1" type="noConversion"/>
  </si>
  <si>
    <t>SC7731C</t>
    <phoneticPr fontId="1" type="noConversion"/>
  </si>
  <si>
    <t>SC7731G</t>
    <phoneticPr fontId="1" type="noConversion"/>
  </si>
  <si>
    <t>SC7731E</t>
  </si>
  <si>
    <t>pixel_clrsrc</t>
    <phoneticPr fontId="1" type="noConversion"/>
  </si>
  <si>
    <t>.hfp</t>
    <phoneticPr fontId="1" type="noConversion"/>
  </si>
  <si>
    <t>.hbp</t>
    <phoneticPr fontId="1" type="noConversion"/>
  </si>
  <si>
    <t>.hsync</t>
    <phoneticPr fontId="1" type="noConversion"/>
  </si>
  <si>
    <t>.vfp</t>
    <phoneticPr fontId="1" type="noConversion"/>
  </si>
  <si>
    <t>.vbp</t>
    <phoneticPr fontId="1" type="noConversion"/>
  </si>
  <si>
    <t>.vsync</t>
    <phoneticPr fontId="1" type="noConversion"/>
  </si>
  <si>
    <t>pixel_clksrc</t>
    <phoneticPr fontId="1" type="noConversion"/>
  </si>
  <si>
    <t>.vfp</t>
    <phoneticPr fontId="1" type="noConversion"/>
  </si>
  <si>
    <t>.vbp</t>
    <phoneticPr fontId="1" type="noConversion"/>
  </si>
  <si>
    <t>.vsync</t>
    <phoneticPr fontId="1" type="noConversion"/>
  </si>
  <si>
    <t>};</t>
  </si>
  <si>
    <r>
      <t>    </t>
    </r>
    <r>
      <rPr>
        <i/>
        <sz val="11"/>
        <color rgb="FF6C6C66"/>
        <rFont val="Consolas"/>
        <family val="3"/>
      </rPr>
      <t>/*</t>
    </r>
    <r>
      <rPr>
        <i/>
        <sz val="11"/>
        <color rgb="FF747C84"/>
        <rFont val="Consolas"/>
        <family val="3"/>
      </rPr>
      <t xml:space="preserve"> common parameters </t>
    </r>
    <r>
      <rPr>
        <i/>
        <sz val="11"/>
        <color rgb="FF6C6C66"/>
        <rFont val="Consolas"/>
        <family val="3"/>
      </rPr>
      <t>*/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</si>
  <si>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type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SPRD_PANEL_TYPE_MIPI</t>
    </r>
    <r>
      <rPr>
        <sz val="11"/>
        <color rgb="FFB5B3AA"/>
        <rFont val="Consolas"/>
        <family val="3"/>
      </rPr>
      <t>,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</si>
  <si>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bpp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24</t>
    </r>
    <r>
      <rPr>
        <sz val="11"/>
        <color rgb="FFB5B3AA"/>
        <rFont val="Consolas"/>
        <family val="3"/>
      </rPr>
      <t>,</t>
    </r>
  </si>
  <si>
    <r>
      <t>    </t>
    </r>
    <r>
      <rPr>
        <i/>
        <sz val="11"/>
        <color rgb="FF6C6C66"/>
        <rFont val="Consolas"/>
        <family val="3"/>
      </rPr>
      <t>/*</t>
    </r>
    <r>
      <rPr>
        <i/>
        <sz val="11"/>
        <color rgb="FF747C84"/>
        <rFont val="Consolas"/>
        <family val="3"/>
      </rPr>
      <t xml:space="preserve"> DPI specific parameters </t>
    </r>
    <r>
      <rPr>
        <i/>
        <sz val="11"/>
        <color rgb="FF6C6C66"/>
        <rFont val="Consolas"/>
        <family val="3"/>
      </rPr>
      <t>*/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</si>
  <si>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rgb_timing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B5B3AA"/>
        <rFont val="Consolas"/>
        <family val="3"/>
      </rPr>
      <t>{</t>
    </r>
  </si>
  <si>
    <r>
      <t>    </t>
    </r>
    <r>
      <rPr>
        <sz val="11"/>
        <color rgb="FFB5B3AA"/>
        <rFont val="Consolas"/>
        <family val="3"/>
      </rPr>
      <t>},</t>
    </r>
  </si>
  <si>
    <r>
      <t>    </t>
    </r>
    <r>
      <rPr>
        <i/>
        <sz val="11"/>
        <color rgb="FF6C6C66"/>
        <rFont val="Consolas"/>
        <family val="3"/>
      </rPr>
      <t>/*</t>
    </r>
    <r>
      <rPr>
        <i/>
        <sz val="11"/>
        <color rgb="FF747C84"/>
        <rFont val="Consolas"/>
        <family val="3"/>
      </rPr>
      <t xml:space="preserve"> MIPI DSI specific parameters </t>
    </r>
    <r>
      <rPr>
        <i/>
        <sz val="11"/>
        <color rgb="FF6C6C66"/>
        <rFont val="Consolas"/>
        <family val="3"/>
      </rPr>
      <t>*/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</si>
  <si>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work_mode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SPRD_MIPI_MODE_VIDEO</t>
    </r>
    <r>
      <rPr>
        <sz val="11"/>
        <color rgb="FFB5B3AA"/>
        <rFont val="Consolas"/>
        <family val="3"/>
      </rPr>
      <t>,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</si>
  <si>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burst_mode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PANEL_VIDEO_BURST_MODE</t>
    </r>
    <r>
      <rPr>
        <sz val="11"/>
        <color rgb="FFB5B3AA"/>
        <rFont val="Consolas"/>
        <family val="3"/>
      </rPr>
      <t>,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</si>
  <si>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nc_clk_en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false</t>
    </r>
    <r>
      <rPr>
        <sz val="11"/>
        <color rgb="FFB5B3AA"/>
        <rFont val="Consolas"/>
        <family val="3"/>
      </rPr>
      <t>,</t>
    </r>
  </si>
  <si>
    <r>
      <t>static</t>
    </r>
    <r>
      <rPr>
        <sz val="11"/>
        <color rgb="FFDDDDDD"/>
        <rFont val="Consolas"/>
        <family val="3"/>
      </rPr>
      <t xml:space="preserve"> </t>
    </r>
    <r>
      <rPr>
        <sz val="11"/>
        <color rgb="FFFF73FD"/>
        <rFont val="Consolas"/>
        <family val="3"/>
      </rPr>
      <t>struct</t>
    </r>
    <r>
      <rPr>
        <sz val="11"/>
        <color rgb="FFDDDDDD"/>
        <rFont val="Consolas"/>
        <family val="3"/>
      </rPr>
      <t xml:space="preserve"> panel_info ili9881c_info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B5B3AA"/>
        <rFont val="Consolas"/>
        <family val="3"/>
      </rPr>
      <t>{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</si>
  <si>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lcd_name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B5B3AA"/>
        <rFont val="Consolas"/>
        <family val="3"/>
      </rPr>
      <t>"</t>
    </r>
    <r>
      <rPr>
        <sz val="11"/>
        <color rgb="FFA8FF60"/>
        <rFont val="Consolas"/>
        <family val="3"/>
      </rPr>
      <t>lcd_ili9881c_3lane_mipi_fhd</t>
    </r>
    <r>
      <rPr>
        <sz val="11"/>
        <color rgb="FFB5B3AA"/>
        <rFont val="Consolas"/>
        <family val="3"/>
      </rPr>
      <t>",</t>
    </r>
  </si>
  <si>
    <r>
      <t>//</t>
    </r>
    <r>
      <rPr>
        <i/>
        <sz val="11"/>
        <color rgb="FF747C84"/>
        <rFont val="Consolas"/>
        <family val="3"/>
      </rPr>
      <t>  .fps = 3,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</si>
  <si>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width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720</t>
    </r>
    <r>
      <rPr>
        <sz val="11"/>
        <color rgb="FFB5B3AA"/>
        <rFont val="Consolas"/>
        <family val="3"/>
      </rPr>
      <t>,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</si>
  <si>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height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1280</t>
    </r>
    <r>
      <rPr>
        <sz val="11"/>
        <color rgb="FFB5B3AA"/>
        <rFont val="Consolas"/>
        <family val="3"/>
      </rPr>
      <t>,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</si>
  <si>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pixel_clk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64000000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</si>
  <si>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hfp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52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</si>
  <si>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hbp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26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</si>
  <si>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hsync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25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</si>
  <si>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vfp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5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</si>
  <si>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vbp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9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</si>
  <si>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vsync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2</t>
    </r>
    <r>
      <rPr>
        <sz val="11"/>
        <color rgb="FFB5B3AA"/>
        <rFont val="Consolas"/>
        <family val="3"/>
      </rPr>
      <t>,</t>
    </r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</si>
  <si>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lane_num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3</t>
    </r>
    <r>
      <rPr>
        <sz val="11"/>
        <color rgb="FFB5B3AA"/>
        <rFont val="Consolas"/>
        <family val="3"/>
      </rPr>
      <t>,</t>
    </r>
  </si>
  <si>
    <r>
      <t>static</t>
    </r>
    <r>
      <rPr>
        <sz val="11"/>
        <color rgb="FFDDDDDD"/>
        <rFont val="Consolas"/>
        <family val="3"/>
      </rPr>
      <t xml:space="preserve"> </t>
    </r>
    <r>
      <rPr>
        <sz val="11"/>
        <color rgb="FFFF73FD"/>
        <rFont val="Consolas"/>
        <family val="3"/>
      </rPr>
      <t>struct</t>
    </r>
    <r>
      <rPr>
        <sz val="11"/>
        <color rgb="FFDDDDDD"/>
        <rFont val="Consolas"/>
        <family val="3"/>
      </rPr>
      <t xml:space="preserve"> timing_rgb lcd_ili9881c_3lane_mipi_timing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B5B3AA"/>
        <rFont val="Consolas"/>
        <family val="3"/>
      </rPr>
      <t>{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</si>
  <si>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hfp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52</t>
    </r>
    <r>
      <rPr>
        <sz val="11"/>
        <color rgb="FFB5B3AA"/>
        <rFont val="Consolas"/>
        <family val="3"/>
      </rPr>
      <t>,</t>
    </r>
    <r>
      <rPr>
        <sz val="11"/>
        <color rgb="FFDDDDDD"/>
        <rFont val="Consolas"/>
        <family val="3"/>
      </rPr>
      <t xml:space="preserve"> </t>
    </r>
    <r>
      <rPr>
        <i/>
        <sz val="11"/>
        <color rgb="FF6C6C66"/>
        <rFont val="Consolas"/>
        <family val="3"/>
      </rPr>
      <t>/*</t>
    </r>
    <r>
      <rPr>
        <i/>
        <sz val="11"/>
        <color rgb="FF747C84"/>
        <rFont val="Consolas"/>
        <family val="3"/>
      </rPr>
      <t xml:space="preserve"> unit: pixel </t>
    </r>
    <r>
      <rPr>
        <i/>
        <sz val="11"/>
        <color rgb="FF6C6C66"/>
        <rFont val="Consolas"/>
        <family val="3"/>
      </rPr>
      <t>*/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</si>
  <si>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vfp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5</t>
    </r>
    <r>
      <rPr>
        <sz val="11"/>
        <color rgb="FFB5B3AA"/>
        <rFont val="Consolas"/>
        <family val="3"/>
      </rPr>
      <t>,</t>
    </r>
    <r>
      <rPr>
        <sz val="11"/>
        <color rgb="FFDDDDDD"/>
        <rFont val="Consolas"/>
        <family val="3"/>
      </rPr>
      <t xml:space="preserve"> </t>
    </r>
    <r>
      <rPr>
        <i/>
        <sz val="11"/>
        <color rgb="FF6C6C66"/>
        <rFont val="Consolas"/>
        <family val="3"/>
      </rPr>
      <t>/*</t>
    </r>
    <r>
      <rPr>
        <i/>
        <sz val="11"/>
        <color rgb="FF747C84"/>
        <rFont val="Consolas"/>
        <family val="3"/>
      </rPr>
      <t>unit: line</t>
    </r>
    <r>
      <rPr>
        <i/>
        <sz val="11"/>
        <color rgb="FF6C6C66"/>
        <rFont val="Consolas"/>
        <family val="3"/>
      </rPr>
      <t>*/</t>
    </r>
  </si>
  <si>
    <r>
      <t>static</t>
    </r>
    <r>
      <rPr>
        <sz val="11"/>
        <color rgb="FFDDDDDD"/>
        <rFont val="Consolas"/>
        <family val="3"/>
      </rPr>
      <t xml:space="preserve"> </t>
    </r>
    <r>
      <rPr>
        <sz val="11"/>
        <color rgb="FFFF73FD"/>
        <rFont val="Consolas"/>
        <family val="3"/>
      </rPr>
      <t>struct</t>
    </r>
    <r>
      <rPr>
        <sz val="11"/>
        <color rgb="FFDDDDDD"/>
        <rFont val="Consolas"/>
        <family val="3"/>
      </rPr>
      <t xml:space="preserve"> info_mipi lcd_ili9881c_3lane_mipi_info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B5B3AA"/>
        <rFont val="Consolas"/>
        <family val="3"/>
      </rPr>
      <t>{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</si>
  <si>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work_mode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SPRDFB_MIPI_MODE_VIDEO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</si>
  <si>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video_bus_width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24</t>
    </r>
    <r>
      <rPr>
        <sz val="11"/>
        <color rgb="FFB5B3AA"/>
        <rFont val="Consolas"/>
        <family val="3"/>
      </rPr>
      <t>,</t>
    </r>
    <r>
      <rPr>
        <sz val="11"/>
        <color rgb="FFDDDDDD"/>
        <rFont val="Consolas"/>
        <family val="3"/>
      </rPr>
      <t xml:space="preserve"> </t>
    </r>
    <r>
      <rPr>
        <i/>
        <sz val="11"/>
        <color rgb="FF6C6C66"/>
        <rFont val="Consolas"/>
        <family val="3"/>
      </rPr>
      <t>/*</t>
    </r>
    <r>
      <rPr>
        <i/>
        <sz val="11"/>
        <color rgb="FF747C84"/>
        <rFont val="Consolas"/>
        <family val="3"/>
      </rPr>
      <t>18,16</t>
    </r>
    <r>
      <rPr>
        <i/>
        <sz val="11"/>
        <color rgb="FF6C6C66"/>
        <rFont val="Consolas"/>
        <family val="3"/>
      </rPr>
      <t>*/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</si>
  <si>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lan_number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3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</si>
  <si>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h_sync_pol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SPRDFB_POLARITY_POS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</si>
  <si>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v_sync_pol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SPRDFB_POLARITY_POS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</si>
  <si>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de_pol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SPRDFB_POLARITY_POS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</si>
  <si>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te_pol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SPRDFB_POLARITY_POS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</si>
  <si>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color_mode_pol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SPRDFB_POLARITY_NEG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</si>
  <si>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shut_down_pol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SPRDFB_POLARITY_NEG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</si>
  <si>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timing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&amp;</t>
    </r>
    <r>
      <rPr>
        <sz val="11"/>
        <color rgb="FFDDDDDD"/>
        <rFont val="Consolas"/>
        <family val="3"/>
      </rPr>
      <t>lcd_ili9881c_3lane_mipi_timing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</si>
  <si>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ops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NULL</t>
    </r>
    <r>
      <rPr>
        <sz val="11"/>
        <color rgb="FFB5B3AA"/>
        <rFont val="Consolas"/>
        <family val="3"/>
      </rPr>
      <t>,</t>
    </r>
  </si>
  <si>
    <r>
      <t>struct</t>
    </r>
    <r>
      <rPr>
        <sz val="11"/>
        <color rgb="FFDDDDDD"/>
        <rFont val="Consolas"/>
        <family val="3"/>
      </rPr>
      <t xml:space="preserve"> panel_spec lcd_ili9881c_3lane_mipi_spec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B5B3AA"/>
        <rFont val="Consolas"/>
        <family val="3"/>
      </rPr>
      <t>{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</si>
  <si>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width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720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</si>
  <si>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height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1280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</si>
  <si>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fps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60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</si>
  <si>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type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LCD_MODE_DSI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</si>
  <si>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direction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LCD_DIRECT_NORMAL</t>
    </r>
    <r>
      <rPr>
        <sz val="11"/>
        <color rgb="FFB5B3AA"/>
        <rFont val="Consolas"/>
        <family val="3"/>
      </rPr>
      <t>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</si>
  <si>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info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B5B3AA"/>
        <rFont val="Consolas"/>
        <family val="3"/>
      </rPr>
      <t>{</t>
    </r>
  </si>
  <si>
    <r>
      <t>        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mipi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&amp;</t>
    </r>
    <r>
      <rPr>
        <sz val="11"/>
        <color rgb="FFDDDDDD"/>
        <rFont val="Consolas"/>
        <family val="3"/>
      </rPr>
      <t>lcd_ili9881c_3lane_mipi_info</t>
    </r>
  </si>
  <si>
    <r>
      <t>        </t>
    </r>
    <r>
      <rPr>
        <sz val="11"/>
        <color rgb="FFB5B3AA"/>
        <rFont val="Consolas"/>
        <family val="3"/>
      </rPr>
      <t>},</t>
    </r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</si>
  <si>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ops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&amp;</t>
    </r>
    <r>
      <rPr>
        <sz val="11"/>
        <color rgb="FFDDDDDD"/>
        <rFont val="Consolas"/>
        <family val="3"/>
      </rPr>
      <t>lcd_ili9881c_3lane_mipi_operations</t>
    </r>
    <r>
      <rPr>
        <sz val="11"/>
        <color rgb="FFB5B3AA"/>
        <rFont val="Consolas"/>
        <family val="3"/>
      </rPr>
      <t>,</t>
    </r>
  </si>
  <si>
    <t>x1.2</t>
    <phoneticPr fontId="1" type="noConversion"/>
  </si>
  <si>
    <t>fps</t>
    <phoneticPr fontId="1" type="noConversion"/>
  </si>
  <si>
    <t>check_num</t>
    <phoneticPr fontId="1" type="noConversion"/>
  </si>
  <si>
    <t>fps(real)_auto</t>
    <phoneticPr fontId="1" type="noConversion"/>
  </si>
  <si>
    <t>fps_near</t>
    <phoneticPr fontId="1" type="noConversion"/>
  </si>
  <si>
    <t>result_auto</t>
    <phoneticPr fontId="1" type="noConversion"/>
  </si>
  <si>
    <t>fps check_auto</t>
    <phoneticPr fontId="1" type="noConversion"/>
  </si>
  <si>
    <t>*1000</t>
    <phoneticPr fontId="1" type="noConversion"/>
  </si>
  <si>
    <t>dpi_clk_src</t>
    <phoneticPr fontId="1" type="noConversion"/>
  </si>
  <si>
    <t>manual</t>
  </si>
  <si>
    <t>builder</t>
    <phoneticPr fontId="1" type="noConversion"/>
  </si>
  <si>
    <t>N</t>
  </si>
  <si>
    <t>Auto</t>
    <phoneticPr fontId="1" type="noConversion"/>
  </si>
  <si>
    <t>manual</t>
    <phoneticPr fontId="1" type="noConversion"/>
  </si>
  <si>
    <t>Manual</t>
    <phoneticPr fontId="1" type="noConversion"/>
  </si>
  <si>
    <t>pixel_clk_src</t>
    <phoneticPr fontId="1" type="noConversion"/>
  </si>
  <si>
    <t>auto</t>
  </si>
  <si>
    <t>type</t>
    <phoneticPr fontId="1" type="noConversion"/>
  </si>
  <si>
    <t>fps(real)_manual</t>
    <phoneticPr fontId="1" type="noConversion"/>
  </si>
  <si>
    <t>auto</t>
    <phoneticPr fontId="1" type="noConversion"/>
  </si>
  <si>
    <t>pixel_clk_src</t>
    <phoneticPr fontId="1" type="noConversion"/>
  </si>
  <si>
    <t>pixel_clk_src_def</t>
    <phoneticPr fontId="1" type="noConversion"/>
  </si>
  <si>
    <t>type</t>
    <phoneticPr fontId="1" type="noConversion"/>
  </si>
  <si>
    <t>reslut</t>
    <phoneticPr fontId="1" type="noConversion"/>
  </si>
  <si>
    <t>priority</t>
    <phoneticPr fontId="1" type="noConversion"/>
  </si>
  <si>
    <t>Output:6_7.0 lcd(mipi)</t>
    <phoneticPr fontId="1" type="noConversion"/>
  </si>
  <si>
    <t>product(6_7)</t>
    <phoneticPr fontId="1" type="noConversion"/>
  </si>
  <si>
    <t>fps_ex</t>
    <phoneticPr fontId="1" type="noConversion"/>
  </si>
  <si>
    <t>pixel_total</t>
  </si>
  <si>
    <t>src_cur</t>
    <phoneticPr fontId="1" type="noConversion"/>
  </si>
  <si>
    <t>src_cur</t>
    <phoneticPr fontId="1" type="noConversion"/>
  </si>
  <si>
    <t>pixel_clk</t>
    <phoneticPr fontId="1" type="noConversion"/>
  </si>
  <si>
    <t>dpi_clksrc_cur</t>
    <phoneticPr fontId="1" type="noConversion"/>
  </si>
  <si>
    <t>dpi_clksrc</t>
    <phoneticPr fontId="1" type="noConversion"/>
  </si>
  <si>
    <t>dpi_clksrc_cur</t>
    <phoneticPr fontId="1" type="noConversion"/>
  </si>
  <si>
    <t>dpi_clksrc</t>
    <phoneticPr fontId="1" type="noConversion"/>
  </si>
  <si>
    <t>dpi_clksrc</t>
    <phoneticPr fontId="1" type="noConversion"/>
  </si>
  <si>
    <t>dpi_clksrc_cur</t>
    <phoneticPr fontId="1" type="noConversion"/>
  </si>
  <si>
    <t>dpi_clksrc_def</t>
    <phoneticPr fontId="1" type="noConversion"/>
  </si>
  <si>
    <t>dpi_clksrc_def</t>
    <phoneticPr fontId="1" type="noConversion"/>
  </si>
  <si>
    <t>Output:6_7.0 lcd(mipi)</t>
    <phoneticPr fontId="1" type="noConversion"/>
  </si>
  <si>
    <t>dpi_clk_src</t>
    <phoneticPr fontId="1" type="noConversion"/>
  </si>
  <si>
    <t>Revision History</t>
    <phoneticPr fontId="36" type="noConversion"/>
  </si>
  <si>
    <t>Revision</t>
    <phoneticPr fontId="36" type="noConversion"/>
  </si>
  <si>
    <t>Date</t>
    <phoneticPr fontId="36" type="noConversion"/>
  </si>
  <si>
    <t>Author</t>
    <phoneticPr fontId="36" type="noConversion"/>
  </si>
  <si>
    <t>Description</t>
    <phoneticPr fontId="36" type="noConversion"/>
  </si>
  <si>
    <t>V1.0</t>
    <phoneticPr fontId="36" type="noConversion"/>
  </si>
  <si>
    <t>evin.wei</t>
    <phoneticPr fontId="36" type="noConversion"/>
  </si>
  <si>
    <t>OverView</t>
    <phoneticPr fontId="36" type="noConversion"/>
  </si>
  <si>
    <t>Description</t>
    <phoneticPr fontId="1" type="noConversion"/>
  </si>
  <si>
    <t>Excel</t>
    <phoneticPr fontId="36" type="noConversion"/>
  </si>
  <si>
    <t>Support</t>
    <phoneticPr fontId="1" type="noConversion"/>
  </si>
  <si>
    <t>dpi_clksrc list</t>
    <phoneticPr fontId="1" type="noConversion"/>
  </si>
  <si>
    <t>features list</t>
    <phoneticPr fontId="1" type="noConversion"/>
  </si>
  <si>
    <t>dpi_clksrc_def</t>
    <phoneticPr fontId="1" type="noConversion"/>
  </si>
  <si>
    <t>product_list</t>
    <phoneticPr fontId="1" type="noConversion"/>
  </si>
  <si>
    <t>HD(1280x720)</t>
    <phoneticPr fontId="1" type="noConversion"/>
  </si>
  <si>
    <t>HD(1280x720)@60fps</t>
    <phoneticPr fontId="1" type="noConversion"/>
  </si>
  <si>
    <t>FHD(1920x1080)@60fps</t>
    <phoneticPr fontId="1" type="noConversion"/>
  </si>
  <si>
    <t>kernel lcd dts</t>
    <phoneticPr fontId="1" type="noConversion"/>
  </si>
  <si>
    <r>
      <t>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phy_freq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614000</t>
    </r>
    <r>
      <rPr>
        <sz val="11"/>
        <color rgb="FFB5B3AA"/>
        <rFont val="Consolas"/>
        <family val="3"/>
      </rPr>
      <t>,</t>
    </r>
    <phoneticPr fontId="1" type="noConversion"/>
  </si>
  <si>
    <r>
      <t>        </t>
    </r>
    <r>
      <rPr>
        <sz val="11"/>
        <color rgb="FFB5B3AA"/>
        <rFont val="Consolas"/>
        <family val="3"/>
      </rPr>
      <t>.</t>
    </r>
    <r>
      <rPr>
        <sz val="11"/>
        <color rgb="FFFF6C60"/>
        <rFont val="Consolas"/>
        <family val="3"/>
      </rPr>
      <t>phy_feq</t>
    </r>
    <r>
      <rPr>
        <sz val="11"/>
        <color rgb="FFDDDDDD"/>
        <rFont val="Consolas"/>
        <family val="3"/>
      </rPr>
      <t xml:space="preserve"> </t>
    </r>
    <r>
      <rPr>
        <sz val="11"/>
        <color rgb="FFD4D4D4"/>
        <rFont val="Consolas"/>
        <family val="3"/>
      </rPr>
      <t>=</t>
    </r>
    <r>
      <rPr>
        <sz val="11"/>
        <color rgb="FFDDDDDD"/>
        <rFont val="Consolas"/>
        <family val="3"/>
      </rPr>
      <t xml:space="preserve"> </t>
    </r>
    <r>
      <rPr>
        <sz val="11"/>
        <color rgb="FFE9C062"/>
        <rFont val="Consolas"/>
        <family val="3"/>
      </rPr>
      <t>614</t>
    </r>
    <r>
      <rPr>
        <sz val="11"/>
        <color rgb="FFD4D4D4"/>
        <rFont val="Consolas"/>
        <family val="3"/>
      </rPr>
      <t>*</t>
    </r>
    <r>
      <rPr>
        <sz val="11"/>
        <color rgb="FFE9C062"/>
        <rFont val="Consolas"/>
        <family val="3"/>
      </rPr>
      <t>1000</t>
    </r>
    <r>
      <rPr>
        <sz val="11"/>
        <color rgb="FFB5B3AA"/>
        <rFont val="Consolas"/>
        <family val="3"/>
      </rPr>
      <t>,</t>
    </r>
    <phoneticPr fontId="1" type="noConversion"/>
  </si>
  <si>
    <t>HD(1280x720)@60fps</t>
    <phoneticPr fontId="1" type="noConversion"/>
  </si>
  <si>
    <t>Y</t>
  </si>
  <si>
    <t>SC9832E</t>
    <phoneticPr fontId="1" type="noConversion"/>
  </si>
  <si>
    <t>vproch</t>
    <phoneticPr fontId="1" type="noConversion"/>
  </si>
  <si>
    <t>vbp+vsync</t>
    <phoneticPr fontId="1" type="noConversion"/>
  </si>
  <si>
    <t>need_check</t>
    <phoneticPr fontId="1" type="noConversion"/>
  </si>
  <si>
    <t>check_result</t>
    <phoneticPr fontId="1" type="noConversion"/>
  </si>
  <si>
    <t>Error</t>
    <phoneticPr fontId="1" type="noConversion"/>
  </si>
  <si>
    <t>sprd - uboot</t>
    <phoneticPr fontId="1" type="noConversion"/>
  </si>
  <si>
    <t>sprdfb - uboot</t>
    <phoneticPr fontId="1" type="noConversion"/>
  </si>
  <si>
    <t>VPROCH不符合要求，需满足VSYNC+VBP &gt; 32</t>
    <phoneticPr fontId="1" type="noConversion"/>
  </si>
  <si>
    <t>custom</t>
    <phoneticPr fontId="1" type="noConversion"/>
  </si>
  <si>
    <t>1920x1200H、2340x1080H</t>
    <phoneticPr fontId="1" type="noConversion"/>
  </si>
  <si>
    <t>fps(real)_auto</t>
    <phoneticPr fontId="1" type="noConversion"/>
  </si>
  <si>
    <t>min max</t>
    <phoneticPr fontId="1" type="noConversion"/>
  </si>
  <si>
    <t>reslut(X1.2)</t>
    <phoneticPr fontId="1" type="noConversion"/>
  </si>
  <si>
    <t>SC7731E</t>
    <phoneticPr fontId="1" type="noConversion"/>
  </si>
  <si>
    <t>Output:lcd(mipi) main</t>
    <phoneticPr fontId="1" type="noConversion"/>
  </si>
  <si>
    <t>Output:lcd(mipi) legacy</t>
    <phoneticPr fontId="1" type="noConversion"/>
  </si>
  <si>
    <t>UMS312</t>
    <phoneticPr fontId="1" type="noConversion"/>
  </si>
  <si>
    <t>UMS312</t>
    <phoneticPr fontId="1" type="noConversion"/>
  </si>
  <si>
    <t>UMS512</t>
    <phoneticPr fontId="1" type="noConversion"/>
  </si>
  <si>
    <t>UMS512_DPI</t>
    <phoneticPr fontId="1" type="noConversion"/>
  </si>
  <si>
    <t>name</t>
    <phoneticPr fontId="1" type="noConversion"/>
  </si>
  <si>
    <t>dpi_name</t>
    <phoneticPr fontId="1" type="noConversion"/>
  </si>
  <si>
    <t>dpi_name</t>
    <phoneticPr fontId="1" type="noConversion"/>
  </si>
  <si>
    <t>UMS312_DPI</t>
    <phoneticPr fontId="1" type="noConversion"/>
  </si>
  <si>
    <t xml:space="preserve">* 支持新增product
</t>
    <phoneticPr fontId="1" type="noConversion"/>
  </si>
  <si>
    <t>need_check</t>
    <phoneticPr fontId="1" type="noConversion"/>
  </si>
  <si>
    <t>Warning</t>
    <phoneticPr fontId="1" type="noConversion"/>
  </si>
  <si>
    <t>Warning</t>
    <phoneticPr fontId="1" type="noConversion"/>
  </si>
  <si>
    <t>VPROCH不符合要求，需满足：VSYNC+VBP &gt; 16</t>
    <phoneticPr fontId="1" type="noConversion"/>
  </si>
  <si>
    <t>product(8.1)</t>
    <phoneticPr fontId="1" type="noConversion"/>
  </si>
  <si>
    <t>product(main)</t>
    <phoneticPr fontId="1" type="noConversion"/>
  </si>
  <si>
    <t>SC9853I</t>
  </si>
  <si>
    <t>VPROCH不符合要求，需满足：VSYNC+VBP &gt; 32</t>
    <phoneticPr fontId="1" type="noConversion"/>
  </si>
  <si>
    <t>UMS512</t>
    <phoneticPr fontId="1" type="noConversion"/>
  </si>
  <si>
    <t>UDS710_DPI</t>
    <phoneticPr fontId="1" type="noConversion"/>
  </si>
  <si>
    <t>UDS710</t>
    <phoneticPr fontId="1" type="noConversion"/>
  </si>
  <si>
    <t>UDS710</t>
    <phoneticPr fontId="1" type="noConversion"/>
  </si>
  <si>
    <t>UMS512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</si>
</sst>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4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8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b/>
      <sz val="28"/>
      <color rgb="FFFF0000"/>
      <name val="Arial Unicode MS"/>
      <family val="2"/>
      <charset val="134"/>
    </font>
    <font>
      <b/>
      <sz val="16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6"/>
      <color theme="1"/>
      <name val="Microsoft YaHei UI Light"/>
      <family val="2"/>
      <charset val="134"/>
    </font>
    <font>
      <b/>
      <sz val="12"/>
      <color theme="1"/>
      <name val="Microsoft YaHei UI Light"/>
      <family val="2"/>
      <charset val="134"/>
    </font>
    <font>
      <b/>
      <sz val="16"/>
      <color theme="0"/>
      <name val="Microsoft YaHei UI Light"/>
      <family val="2"/>
      <charset val="134"/>
    </font>
    <font>
      <b/>
      <sz val="12"/>
      <color theme="0"/>
      <name val="Microsoft YaHei UI Light"/>
      <family val="2"/>
      <charset val="134"/>
    </font>
    <font>
      <b/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6"/>
      <color theme="0"/>
      <name val="宋体"/>
      <family val="3"/>
      <charset val="134"/>
      <scheme val="minor"/>
    </font>
    <font>
      <sz val="18"/>
      <color rgb="FFFF0000"/>
      <name val="宋体"/>
      <family val="3"/>
      <charset val="134"/>
      <scheme val="minor"/>
    </font>
    <font>
      <sz val="11"/>
      <color rgb="FFDDDDDD"/>
      <name val="Consolas"/>
      <family val="3"/>
    </font>
    <font>
      <sz val="11"/>
      <color rgb="FFFF73FD"/>
      <name val="Consolas"/>
      <family val="3"/>
    </font>
    <font>
      <sz val="11"/>
      <color rgb="FFD4D4D4"/>
      <name val="Consolas"/>
      <family val="3"/>
    </font>
    <font>
      <sz val="11"/>
      <color rgb="FFB5B3AA"/>
      <name val="Consolas"/>
      <family val="3"/>
    </font>
    <font>
      <i/>
      <sz val="11"/>
      <color rgb="FF6C6C66"/>
      <name val="Consolas"/>
      <family val="3"/>
    </font>
    <font>
      <i/>
      <sz val="11"/>
      <color rgb="FF747C84"/>
      <name val="Consolas"/>
      <family val="3"/>
    </font>
    <font>
      <sz val="11"/>
      <color rgb="FFFF6C60"/>
      <name val="Consolas"/>
      <family val="3"/>
    </font>
    <font>
      <sz val="11"/>
      <color rgb="FFA8FF60"/>
      <name val="Consolas"/>
      <family val="3"/>
    </font>
    <font>
      <sz val="11"/>
      <color rgb="FFE9C062"/>
      <name val="Consolas"/>
      <family val="3"/>
    </font>
    <font>
      <sz val="11"/>
      <color rgb="FFFF0000"/>
      <name val="宋体"/>
      <family val="2"/>
      <scheme val="minor"/>
    </font>
    <font>
      <b/>
      <sz val="12"/>
      <color rgb="FFFF0000"/>
      <name val="宋体"/>
      <family val="3"/>
      <charset val="134"/>
      <scheme val="minor"/>
    </font>
    <font>
      <sz val="18"/>
      <color theme="7"/>
      <name val="Arial Unicode MS"/>
      <family val="2"/>
      <charset val="134"/>
    </font>
    <font>
      <sz val="16"/>
      <color theme="1"/>
      <name val="Arial Unicode MS"/>
      <family val="2"/>
      <charset val="134"/>
    </font>
    <font>
      <b/>
      <sz val="16"/>
      <color theme="1"/>
      <name val="微软雅黑 Light"/>
      <family val="2"/>
      <charset val="134"/>
    </font>
    <font>
      <b/>
      <sz val="16"/>
      <name val="Arial"/>
      <family val="2"/>
    </font>
    <font>
      <sz val="9"/>
      <name val="宋体"/>
      <family val="3"/>
      <charset val="134"/>
    </font>
    <font>
      <sz val="11"/>
      <name val="微软雅黑"/>
      <family val="2"/>
      <charset val="134"/>
    </font>
    <font>
      <u/>
      <sz val="10"/>
      <color indexed="12"/>
      <name val="Arial"/>
      <family val="2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6"/>
      <color rgb="FF7030A0"/>
      <name val="宋体"/>
      <family val="3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bgColor theme="0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gray125">
        <bgColor theme="0" tint="-0.249977111117893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8" tint="-0.249977111117893"/>
      </left>
      <right style="hair">
        <color theme="8" tint="-0.249977111117893"/>
      </right>
      <top style="hair">
        <color theme="8" tint="-0.249977111117893"/>
      </top>
      <bottom style="hair">
        <color theme="8" tint="-0.249977111117893"/>
      </bottom>
      <diagonal/>
    </border>
    <border>
      <left style="thin">
        <color indexed="64"/>
      </left>
      <right/>
      <top/>
      <bottom/>
      <diagonal/>
    </border>
    <border>
      <left style="hair">
        <color theme="8" tint="-0.249977111117893"/>
      </left>
      <right/>
      <top style="hair">
        <color theme="8" tint="-0.249977111117893"/>
      </top>
      <bottom style="hair">
        <color theme="8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theme="8" tint="-0.249977111117893"/>
      </top>
      <bottom/>
      <diagonal/>
    </border>
    <border>
      <left/>
      <right/>
      <top style="hair">
        <color theme="8" tint="-0.249977111117893"/>
      </top>
      <bottom/>
      <diagonal/>
    </border>
  </borders>
  <cellStyleXfs count="2">
    <xf numFmtId="0" fontId="0" fillId="0" borderId="0"/>
    <xf numFmtId="176" fontId="38" fillId="0" borderId="0" applyNumberFormat="0" applyFill="0" applyBorder="0" applyAlignment="0" applyProtection="0">
      <alignment vertical="top"/>
      <protection locked="0"/>
    </xf>
  </cellStyleXfs>
  <cellXfs count="248">
    <xf numFmtId="0" fontId="0" fillId="0" borderId="0" xfId="0"/>
    <xf numFmtId="0" fontId="2" fillId="0" borderId="0" xfId="0" applyFont="1"/>
    <xf numFmtId="0" fontId="3" fillId="0" borderId="0" xfId="0" applyFont="1"/>
    <xf numFmtId="0" fontId="7" fillId="0" borderId="0" xfId="0" applyFont="1"/>
    <xf numFmtId="0" fontId="7" fillId="0" borderId="0" xfId="0" applyFont="1" applyBorder="1"/>
    <xf numFmtId="0" fontId="2" fillId="0" borderId="0" xfId="0" applyFont="1" applyBorder="1"/>
    <xf numFmtId="0" fontId="6" fillId="3" borderId="0" xfId="0" applyFont="1" applyFill="1" applyBorder="1" applyAlignment="1"/>
    <xf numFmtId="0" fontId="6" fillId="6" borderId="0" xfId="0" applyFont="1" applyFill="1" applyBorder="1" applyAlignment="1"/>
    <xf numFmtId="0" fontId="7" fillId="0" borderId="4" xfId="0" applyFont="1" applyBorder="1"/>
    <xf numFmtId="0" fontId="11" fillId="4" borderId="3" xfId="0" applyFont="1" applyFill="1" applyBorder="1"/>
    <xf numFmtId="0" fontId="9" fillId="7" borderId="3" xfId="0" applyFont="1" applyFill="1" applyBorder="1" applyProtection="1">
      <protection locked="0"/>
    </xf>
    <xf numFmtId="0" fontId="11" fillId="5" borderId="3" xfId="0" applyFont="1" applyFill="1" applyBorder="1"/>
    <xf numFmtId="0" fontId="9" fillId="7" borderId="3" xfId="0" applyFont="1" applyFill="1" applyBorder="1" applyAlignment="1" applyProtection="1">
      <alignment horizontal="right"/>
      <protection locked="0"/>
    </xf>
    <xf numFmtId="0" fontId="6" fillId="8" borderId="0" xfId="0" applyFont="1" applyFill="1" applyBorder="1"/>
    <xf numFmtId="0" fontId="10" fillId="3" borderId="0" xfId="0" applyFont="1" applyFill="1" applyBorder="1" applyAlignment="1"/>
    <xf numFmtId="0" fontId="13" fillId="9" borderId="0" xfId="0" applyFont="1" applyFill="1" applyBorder="1"/>
    <xf numFmtId="0" fontId="13" fillId="9" borderId="0" xfId="0" applyFont="1" applyFill="1" applyBorder="1" applyAlignment="1">
      <alignment vertical="center"/>
    </xf>
    <xf numFmtId="0" fontId="11" fillId="6" borderId="3" xfId="0" applyFont="1" applyFill="1" applyBorder="1"/>
    <xf numFmtId="0" fontId="6" fillId="6" borderId="3" xfId="0" applyFont="1" applyFill="1" applyBorder="1"/>
    <xf numFmtId="0" fontId="6" fillId="6" borderId="0" xfId="0" applyFont="1" applyFill="1" applyBorder="1"/>
    <xf numFmtId="0" fontId="0" fillId="0" borderId="0" xfId="0" applyBorder="1"/>
    <xf numFmtId="0" fontId="8" fillId="5" borderId="0" xfId="0" applyFont="1" applyFill="1" applyBorder="1" applyAlignment="1">
      <alignment horizontal="center"/>
    </xf>
    <xf numFmtId="0" fontId="2" fillId="0" borderId="0" xfId="0" applyFont="1" applyBorder="1" applyAlignment="1"/>
    <xf numFmtId="0" fontId="2" fillId="0" borderId="0" xfId="0" applyFont="1" applyAlignment="1"/>
    <xf numFmtId="0" fontId="3" fillId="10" borderId="0" xfId="0" applyFont="1" applyFill="1" applyBorder="1" applyAlignment="1"/>
    <xf numFmtId="0" fontId="3" fillId="10" borderId="0" xfId="0" applyFont="1" applyFill="1" applyBorder="1" applyAlignment="1">
      <alignment wrapText="1"/>
    </xf>
    <xf numFmtId="0" fontId="0" fillId="10" borderId="0" xfId="0" applyFill="1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16" borderId="1" xfId="0" applyFill="1" applyBorder="1" applyAlignment="1">
      <alignment horizontal="left" vertical="center"/>
    </xf>
    <xf numFmtId="0" fontId="16" fillId="17" borderId="1" xfId="0" applyFont="1" applyFill="1" applyBorder="1" applyAlignment="1">
      <alignment horizontal="left" vertical="center"/>
    </xf>
    <xf numFmtId="0" fontId="16" fillId="14" borderId="1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/>
    </xf>
    <xf numFmtId="0" fontId="0" fillId="10" borderId="1" xfId="0" applyFill="1" applyBorder="1"/>
    <xf numFmtId="0" fontId="0" fillId="18" borderId="1" xfId="0" applyFill="1" applyBorder="1"/>
    <xf numFmtId="0" fontId="0" fillId="0" borderId="1" xfId="0" applyBorder="1" applyAlignment="1">
      <alignment vertical="center"/>
    </xf>
    <xf numFmtId="0" fontId="0" fillId="0" borderId="9" xfId="0" applyBorder="1" applyAlignment="1">
      <alignment horizontal="left" vertical="center"/>
    </xf>
    <xf numFmtId="0" fontId="0" fillId="10" borderId="6" xfId="0" applyFill="1" applyBorder="1" applyAlignment="1"/>
    <xf numFmtId="0" fontId="0" fillId="19" borderId="9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19" borderId="9" xfId="0" applyFill="1" applyBorder="1" applyAlignment="1">
      <alignment horizontal="left" vertical="center"/>
    </xf>
    <xf numFmtId="0" fontId="18" fillId="19" borderId="1" xfId="0" applyFont="1" applyFill="1" applyBorder="1"/>
    <xf numFmtId="0" fontId="0" fillId="7" borderId="0" xfId="0" applyFill="1"/>
    <xf numFmtId="0" fontId="19" fillId="0" borderId="0" xfId="0" applyFont="1"/>
    <xf numFmtId="0" fontId="9" fillId="7" borderId="5" xfId="0" applyFont="1" applyFill="1" applyBorder="1" applyProtection="1">
      <protection locked="0"/>
    </xf>
    <xf numFmtId="0" fontId="20" fillId="0" borderId="0" xfId="0" applyFont="1" applyBorder="1"/>
    <xf numFmtId="0" fontId="3" fillId="0" borderId="0" xfId="0" applyFont="1" applyBorder="1"/>
    <xf numFmtId="0" fontId="22" fillId="21" borderId="0" xfId="0" applyFont="1" applyFill="1" applyAlignment="1">
      <alignment vertical="center"/>
    </xf>
    <xf numFmtId="0" fontId="0" fillId="21" borderId="0" xfId="0" applyFill="1"/>
    <xf numFmtId="0" fontId="21" fillId="21" borderId="0" xfId="0" applyFont="1" applyFill="1" applyAlignment="1">
      <alignment vertical="center"/>
    </xf>
    <xf numFmtId="0" fontId="25" fillId="21" borderId="0" xfId="0" applyFont="1" applyFill="1" applyAlignment="1">
      <alignment vertical="center"/>
    </xf>
    <xf numFmtId="0" fontId="0" fillId="21" borderId="0" xfId="0" applyFill="1" applyAlignment="1">
      <alignment vertical="center"/>
    </xf>
    <xf numFmtId="0" fontId="24" fillId="21" borderId="0" xfId="0" applyFont="1" applyFill="1" applyAlignment="1">
      <alignment vertical="center"/>
    </xf>
    <xf numFmtId="0" fontId="0" fillId="22" borderId="0" xfId="0" applyFill="1"/>
    <xf numFmtId="0" fontId="9" fillId="7" borderId="3" xfId="0" applyFont="1" applyFill="1" applyBorder="1" applyProtection="1"/>
    <xf numFmtId="0" fontId="9" fillId="7" borderId="3" xfId="0" applyFont="1" applyFill="1" applyBorder="1" applyAlignment="1" applyProtection="1">
      <alignment horizontal="right"/>
    </xf>
    <xf numFmtId="0" fontId="30" fillId="20" borderId="0" xfId="0" applyFont="1" applyFill="1"/>
    <xf numFmtId="0" fontId="0" fillId="20" borderId="0" xfId="0" applyFill="1"/>
    <xf numFmtId="0" fontId="0" fillId="2" borderId="1" xfId="0" applyFill="1" applyBorder="1" applyAlignment="1">
      <alignment horizontal="center" vertical="center"/>
    </xf>
    <xf numFmtId="0" fontId="0" fillId="0" borderId="9" xfId="0" applyBorder="1"/>
    <xf numFmtId="0" fontId="0" fillId="23" borderId="1" xfId="0" applyFill="1" applyBorder="1"/>
    <xf numFmtId="0" fontId="0" fillId="23" borderId="1" xfId="0" applyFill="1" applyBorder="1" applyAlignment="1">
      <alignment horizontal="center" vertical="center"/>
    </xf>
    <xf numFmtId="0" fontId="0" fillId="20" borderId="10" xfId="0" applyFill="1" applyBorder="1"/>
    <xf numFmtId="0" fontId="0" fillId="0" borderId="10" xfId="0" applyBorder="1"/>
    <xf numFmtId="0" fontId="15" fillId="12" borderId="10" xfId="0" applyFont="1" applyFill="1" applyBorder="1" applyAlignment="1">
      <alignment horizontal="center" vertical="center"/>
    </xf>
    <xf numFmtId="0" fontId="15" fillId="12" borderId="14" xfId="0" applyFont="1" applyFill="1" applyBorder="1" applyAlignment="1">
      <alignment horizontal="center" vertical="center"/>
    </xf>
    <xf numFmtId="0" fontId="0" fillId="28" borderId="1" xfId="0" applyFill="1" applyBorder="1"/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right" vertical="center"/>
    </xf>
    <xf numFmtId="0" fontId="0" fillId="28" borderId="1" xfId="0" applyFill="1" applyBorder="1" applyAlignment="1">
      <alignment horizontal="center" vertical="center"/>
    </xf>
    <xf numFmtId="0" fontId="0" fillId="28" borderId="1" xfId="0" applyFill="1" applyBorder="1" applyAlignment="1">
      <alignment horizont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right"/>
    </xf>
    <xf numFmtId="0" fontId="16" fillId="17" borderId="10" xfId="0" applyFont="1" applyFill="1" applyBorder="1" applyAlignment="1">
      <alignment horizontal="left" vertical="center"/>
    </xf>
    <xf numFmtId="0" fontId="16" fillId="14" borderId="10" xfId="0" applyFont="1" applyFill="1" applyBorder="1" applyAlignment="1">
      <alignment horizontal="left" vertical="center"/>
    </xf>
    <xf numFmtId="0" fontId="31" fillId="28" borderId="15" xfId="0" applyFont="1" applyFill="1" applyBorder="1" applyAlignment="1">
      <alignment horizontal="center" vertical="center"/>
    </xf>
    <xf numFmtId="0" fontId="15" fillId="28" borderId="15" xfId="0" applyFont="1" applyFill="1" applyBorder="1" applyAlignment="1">
      <alignment horizontal="center" vertical="center"/>
    </xf>
    <xf numFmtId="0" fontId="16" fillId="29" borderId="10" xfId="0" applyFont="1" applyFill="1" applyBorder="1" applyAlignment="1">
      <alignment horizontal="left" vertical="center"/>
    </xf>
    <xf numFmtId="0" fontId="16" fillId="29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3" fillId="24" borderId="0" xfId="0" applyFont="1" applyFill="1" applyBorder="1"/>
    <xf numFmtId="0" fontId="2" fillId="24" borderId="0" xfId="0" applyFont="1" applyFill="1" applyBorder="1"/>
    <xf numFmtId="0" fontId="13" fillId="9" borderId="4" xfId="0" applyFont="1" applyFill="1" applyBorder="1"/>
    <xf numFmtId="0" fontId="0" fillId="0" borderId="13" xfId="0" applyBorder="1"/>
    <xf numFmtId="0" fontId="13" fillId="9" borderId="4" xfId="0" applyFont="1" applyFill="1" applyBorder="1" applyAlignment="1">
      <alignment vertical="center"/>
    </xf>
    <xf numFmtId="0" fontId="6" fillId="8" borderId="13" xfId="0" applyFont="1" applyFill="1" applyBorder="1"/>
    <xf numFmtId="0" fontId="13" fillId="9" borderId="14" xfId="0" applyFont="1" applyFill="1" applyBorder="1" applyAlignment="1">
      <alignment vertical="center"/>
    </xf>
    <xf numFmtId="0" fontId="6" fillId="6" borderId="8" xfId="0" applyFont="1" applyFill="1" applyBorder="1" applyAlignment="1"/>
    <xf numFmtId="0" fontId="2" fillId="26" borderId="0" xfId="0" applyFont="1" applyFill="1" applyBorder="1"/>
    <xf numFmtId="0" fontId="2" fillId="0" borderId="13" xfId="0" applyFont="1" applyBorder="1"/>
    <xf numFmtId="0" fontId="0" fillId="0" borderId="17" xfId="0" applyBorder="1"/>
    <xf numFmtId="0" fontId="13" fillId="9" borderId="18" xfId="0" applyFont="1" applyFill="1" applyBorder="1"/>
    <xf numFmtId="0" fontId="13" fillId="25" borderId="0" xfId="0" applyFont="1" applyFill="1" applyBorder="1"/>
    <xf numFmtId="0" fontId="13" fillId="25" borderId="0" xfId="0" applyFont="1" applyFill="1" applyBorder="1" applyAlignment="1">
      <alignment vertical="center"/>
    </xf>
    <xf numFmtId="0" fontId="3" fillId="7" borderId="0" xfId="0" applyFont="1" applyFill="1" applyBorder="1" applyAlignment="1"/>
    <xf numFmtId="0" fontId="3" fillId="7" borderId="0" xfId="0" applyFont="1" applyFill="1" applyBorder="1" applyAlignment="1">
      <alignment wrapText="1"/>
    </xf>
    <xf numFmtId="0" fontId="8" fillId="7" borderId="0" xfId="0" applyFont="1" applyFill="1" applyBorder="1" applyAlignment="1">
      <alignment horizontal="center"/>
    </xf>
    <xf numFmtId="0" fontId="34" fillId="7" borderId="0" xfId="0" applyFont="1" applyFill="1" applyBorder="1" applyAlignment="1"/>
    <xf numFmtId="0" fontId="6" fillId="7" borderId="0" xfId="0" applyFont="1" applyFill="1" applyBorder="1" applyAlignment="1"/>
    <xf numFmtId="0" fontId="11" fillId="24" borderId="0" xfId="0" applyFont="1" applyFill="1" applyBorder="1"/>
    <xf numFmtId="0" fontId="6" fillId="24" borderId="0" xfId="0" applyFont="1" applyFill="1" applyBorder="1"/>
    <xf numFmtId="0" fontId="11" fillId="17" borderId="8" xfId="0" applyFont="1" applyFill="1" applyBorder="1"/>
    <xf numFmtId="0" fontId="7" fillId="0" borderId="0" xfId="0" applyFont="1" applyBorder="1" applyAlignment="1"/>
    <xf numFmtId="0" fontId="9" fillId="7" borderId="8" xfId="0" applyFont="1" applyFill="1" applyBorder="1" applyProtection="1">
      <protection locked="0"/>
    </xf>
    <xf numFmtId="0" fontId="9" fillId="7" borderId="17" xfId="0" applyFont="1" applyFill="1" applyBorder="1" applyProtection="1">
      <protection locked="0"/>
    </xf>
    <xf numFmtId="0" fontId="9" fillId="7" borderId="18" xfId="0" applyFont="1" applyFill="1" applyBorder="1" applyProtection="1">
      <protection locked="0"/>
    </xf>
    <xf numFmtId="0" fontId="9" fillId="7" borderId="10" xfId="0" applyFont="1" applyFill="1" applyBorder="1" applyProtection="1">
      <protection locked="0"/>
    </xf>
    <xf numFmtId="0" fontId="11" fillId="17" borderId="13" xfId="0" applyFont="1" applyFill="1" applyBorder="1"/>
    <xf numFmtId="0" fontId="11" fillId="17" borderId="7" xfId="0" applyFont="1" applyFill="1" applyBorder="1"/>
    <xf numFmtId="0" fontId="11" fillId="17" borderId="18" xfId="0" applyFont="1" applyFill="1" applyBorder="1"/>
    <xf numFmtId="0" fontId="9" fillId="7" borderId="18" xfId="0" applyFont="1" applyFill="1" applyBorder="1" applyAlignment="1" applyProtection="1">
      <alignment horizontal="right"/>
      <protection locked="0"/>
    </xf>
    <xf numFmtId="0" fontId="17" fillId="15" borderId="1" xfId="0" applyFont="1" applyFill="1" applyBorder="1"/>
    <xf numFmtId="0" fontId="0" fillId="0" borderId="1" xfId="0" applyFill="1" applyBorder="1"/>
    <xf numFmtId="0" fontId="0" fillId="27" borderId="1" xfId="0" applyFill="1" applyBorder="1"/>
    <xf numFmtId="0" fontId="0" fillId="0" borderId="9" xfId="0" applyBorder="1" applyAlignment="1">
      <alignment horizontal="right"/>
    </xf>
    <xf numFmtId="0" fontId="11" fillId="3" borderId="0" xfId="0" applyFont="1" applyFill="1" applyBorder="1" applyAlignment="1"/>
    <xf numFmtId="0" fontId="0" fillId="19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 applyAlignment="1"/>
    <xf numFmtId="0" fontId="0" fillId="17" borderId="1" xfId="0" applyFill="1" applyBorder="1" applyProtection="1">
      <protection locked="0"/>
    </xf>
    <xf numFmtId="0" fontId="16" fillId="14" borderId="1" xfId="0" applyFont="1" applyFill="1" applyBorder="1" applyAlignment="1" applyProtection="1">
      <alignment horizontal="left" vertical="center"/>
    </xf>
    <xf numFmtId="0" fontId="37" fillId="0" borderId="1" xfId="0" applyFont="1" applyFill="1" applyBorder="1" applyAlignment="1">
      <alignment horizontal="left" vertical="center" wrapText="1"/>
    </xf>
    <xf numFmtId="49" fontId="37" fillId="0" borderId="1" xfId="1" applyNumberFormat="1" applyFont="1" applyFill="1" applyBorder="1" applyAlignment="1" applyProtection="1">
      <alignment horizontal="left" vertical="center" wrapText="1"/>
    </xf>
    <xf numFmtId="14" fontId="37" fillId="0" borderId="1" xfId="1" applyNumberFormat="1" applyFont="1" applyFill="1" applyBorder="1" applyAlignment="1" applyProtection="1">
      <alignment horizontal="left" vertical="center" wrapText="1"/>
    </xf>
    <xf numFmtId="176" fontId="37" fillId="0" borderId="1" xfId="1" applyFont="1" applyFill="1" applyBorder="1" applyAlignment="1" applyProtection="1">
      <alignment horizontal="left" vertical="center" wrapText="1"/>
    </xf>
    <xf numFmtId="176" fontId="37" fillId="0" borderId="1" xfId="1" applyFont="1" applyFill="1" applyBorder="1" applyAlignment="1" applyProtection="1">
      <alignment horizontal="left" vertical="top" wrapText="1"/>
    </xf>
    <xf numFmtId="0" fontId="16" fillId="17" borderId="1" xfId="0" applyFont="1" applyFill="1" applyBorder="1" applyAlignment="1" applyProtection="1">
      <alignment horizontal="left" vertical="center"/>
      <protection locked="0"/>
    </xf>
    <xf numFmtId="0" fontId="15" fillId="12" borderId="7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right"/>
    </xf>
    <xf numFmtId="0" fontId="9" fillId="7" borderId="8" xfId="0" applyFont="1" applyFill="1" applyBorder="1" applyProtection="1">
      <protection locked="0" hidden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13" borderId="10" xfId="0" applyFill="1" applyBorder="1"/>
    <xf numFmtId="0" fontId="0" fillId="13" borderId="10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horizontal="left"/>
      <protection locked="0"/>
    </xf>
    <xf numFmtId="0" fontId="17" fillId="17" borderId="1" xfId="0" applyFont="1" applyFill="1" applyBorder="1" applyProtection="1">
      <protection locked="0"/>
    </xf>
    <xf numFmtId="0" fontId="18" fillId="17" borderId="1" xfId="0" applyFont="1" applyFill="1" applyBorder="1" applyProtection="1">
      <protection locked="0"/>
    </xf>
    <xf numFmtId="0" fontId="6" fillId="6" borderId="0" xfId="0" applyFont="1" applyFill="1"/>
    <xf numFmtId="0" fontId="0" fillId="32" borderId="1" xfId="0" applyFill="1" applyBorder="1"/>
    <xf numFmtId="0" fontId="0" fillId="3" borderId="1" xfId="0" applyFill="1" applyBorder="1"/>
    <xf numFmtId="0" fontId="0" fillId="24" borderId="1" xfId="0" applyFill="1" applyBorder="1"/>
    <xf numFmtId="0" fontId="0" fillId="3" borderId="1" xfId="0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0" fillId="3" borderId="6" xfId="0" applyFill="1" applyBorder="1"/>
    <xf numFmtId="0" fontId="0" fillId="24" borderId="6" xfId="0" applyFill="1" applyBorder="1"/>
    <xf numFmtId="0" fontId="0" fillId="3" borderId="2" xfId="0" applyFill="1" applyBorder="1"/>
    <xf numFmtId="0" fontId="0" fillId="24" borderId="2" xfId="0" applyFill="1" applyBorder="1"/>
    <xf numFmtId="0" fontId="0" fillId="18" borderId="9" xfId="0" applyFill="1" applyBorder="1" applyAlignment="1">
      <alignment horizontal="left"/>
    </xf>
    <xf numFmtId="0" fontId="0" fillId="12" borderId="9" xfId="0" applyFill="1" applyBorder="1" applyAlignment="1">
      <alignment vertical="center"/>
    </xf>
    <xf numFmtId="0" fontId="0" fillId="12" borderId="10" xfId="0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19" borderId="9" xfId="0" applyFill="1" applyBorder="1" applyAlignment="1">
      <alignment horizontal="right" vertical="center"/>
    </xf>
    <xf numFmtId="0" fontId="10" fillId="34" borderId="0" xfId="0" applyFont="1" applyFill="1" applyBorder="1" applyAlignment="1">
      <alignment horizontal="right"/>
    </xf>
    <xf numFmtId="0" fontId="42" fillId="6" borderId="0" xfId="0" applyFont="1" applyFill="1" applyBorder="1" applyAlignment="1"/>
    <xf numFmtId="0" fontId="42" fillId="6" borderId="0" xfId="0" applyFont="1" applyFill="1" applyBorder="1"/>
    <xf numFmtId="0" fontId="42" fillId="8" borderId="0" xfId="0" applyFont="1" applyFill="1" applyBorder="1" applyAlignment="1">
      <alignment horizontal="left"/>
    </xf>
    <xf numFmtId="0" fontId="0" fillId="33" borderId="1" xfId="0" applyFill="1" applyBorder="1"/>
    <xf numFmtId="0" fontId="0" fillId="15" borderId="1" xfId="0" applyFill="1" applyBorder="1"/>
    <xf numFmtId="0" fontId="0" fillId="5" borderId="1" xfId="0" applyFill="1" applyBorder="1"/>
    <xf numFmtId="0" fontId="0" fillId="0" borderId="1" xfId="0" applyBorder="1" applyProtection="1">
      <protection locked="0"/>
    </xf>
    <xf numFmtId="0" fontId="16" fillId="14" borderId="10" xfId="0" applyFont="1" applyFill="1" applyBorder="1" applyAlignment="1" applyProtection="1">
      <alignment horizontal="left" vertical="center"/>
    </xf>
    <xf numFmtId="0" fontId="16" fillId="7" borderId="1" xfId="0" applyFont="1" applyFill="1" applyBorder="1" applyAlignment="1">
      <alignment horizontal="left" vertical="center"/>
    </xf>
    <xf numFmtId="0" fontId="0" fillId="7" borderId="1" xfId="0" applyFill="1" applyBorder="1" applyAlignment="1" applyProtection="1">
      <alignment horizontal="left"/>
      <protection locked="0"/>
    </xf>
    <xf numFmtId="0" fontId="16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left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5" borderId="1" xfId="0" applyFill="1" applyBorder="1" applyProtection="1">
      <protection locked="0"/>
    </xf>
    <xf numFmtId="0" fontId="0" fillId="27" borderId="1" xfId="0" applyFill="1" applyBorder="1" applyProtection="1">
      <protection locked="0"/>
    </xf>
    <xf numFmtId="0" fontId="16" fillId="4" borderId="1" xfId="0" applyFont="1" applyFill="1" applyBorder="1" applyAlignment="1">
      <alignment horizontal="left" vertic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0" fillId="7" borderId="10" xfId="0" applyFill="1" applyBorder="1"/>
    <xf numFmtId="0" fontId="0" fillId="7" borderId="1" xfId="0" applyFill="1" applyBorder="1"/>
    <xf numFmtId="0" fontId="0" fillId="0" borderId="1" xfId="0" applyBorder="1" applyAlignment="1" applyProtection="1">
      <alignment horizontal="right" vertical="center"/>
    </xf>
    <xf numFmtId="0" fontId="7" fillId="0" borderId="0" xfId="0" applyFont="1" applyBorder="1" applyAlignment="1">
      <alignment horizontal="center"/>
    </xf>
    <xf numFmtId="0" fontId="13" fillId="9" borderId="6" xfId="0" applyFont="1" applyFill="1" applyBorder="1" applyAlignment="1">
      <alignment horizontal="left" vertical="center"/>
    </xf>
    <xf numFmtId="0" fontId="13" fillId="9" borderId="18" xfId="0" applyFont="1" applyFill="1" applyBorder="1" applyAlignment="1">
      <alignment horizontal="left" vertical="center"/>
    </xf>
    <xf numFmtId="0" fontId="6" fillId="6" borderId="18" xfId="0" applyFont="1" applyFill="1" applyBorder="1" applyAlignment="1">
      <alignment horizontal="right" vertical="center"/>
    </xf>
    <xf numFmtId="0" fontId="6" fillId="6" borderId="2" xfId="0" applyFont="1" applyFill="1" applyBorder="1" applyAlignment="1">
      <alignment horizontal="right" vertical="center"/>
    </xf>
    <xf numFmtId="0" fontId="32" fillId="5" borderId="11" xfId="0" applyFont="1" applyFill="1" applyBorder="1" applyAlignment="1">
      <alignment horizontal="right" vertical="center"/>
    </xf>
    <xf numFmtId="0" fontId="32" fillId="5" borderId="12" xfId="0" applyFont="1" applyFill="1" applyBorder="1" applyAlignment="1">
      <alignment horizontal="right" vertical="center"/>
    </xf>
    <xf numFmtId="0" fontId="32" fillId="5" borderId="16" xfId="0" applyFont="1" applyFill="1" applyBorder="1" applyAlignment="1">
      <alignment horizontal="right" vertical="center"/>
    </xf>
    <xf numFmtId="0" fontId="32" fillId="5" borderId="4" xfId="0" applyFont="1" applyFill="1" applyBorder="1" applyAlignment="1">
      <alignment horizontal="right" vertical="center"/>
    </xf>
    <xf numFmtId="0" fontId="32" fillId="5" borderId="0" xfId="0" applyFont="1" applyFill="1" applyBorder="1" applyAlignment="1">
      <alignment horizontal="right" vertical="center"/>
    </xf>
    <xf numFmtId="0" fontId="32" fillId="5" borderId="13" xfId="0" applyFont="1" applyFill="1" applyBorder="1" applyAlignment="1">
      <alignment horizontal="right" vertical="center"/>
    </xf>
    <xf numFmtId="0" fontId="33" fillId="6" borderId="18" xfId="0" applyFont="1" applyFill="1" applyBorder="1" applyAlignment="1">
      <alignment horizontal="right"/>
    </xf>
    <xf numFmtId="0" fontId="33" fillId="6" borderId="2" xfId="0" applyFont="1" applyFill="1" applyBorder="1" applyAlignment="1">
      <alignment horizontal="right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6" fillId="16" borderId="0" xfId="0" applyFont="1" applyFill="1" applyAlignment="1">
      <alignment horizontal="left"/>
    </xf>
    <xf numFmtId="0" fontId="7" fillId="16" borderId="0" xfId="0" applyFont="1" applyFill="1" applyAlignment="1">
      <alignment horizontal="left"/>
    </xf>
    <xf numFmtId="0" fontId="41" fillId="31" borderId="0" xfId="0" applyFont="1" applyFill="1" applyAlignment="1">
      <alignment horizontal="left"/>
    </xf>
    <xf numFmtId="0" fontId="0" fillId="28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7" borderId="9" xfId="0" applyFill="1" applyBorder="1" applyAlignment="1">
      <alignment horizontal="center" vertical="center"/>
    </xf>
    <xf numFmtId="0" fontId="0" fillId="17" borderId="1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15" fillId="11" borderId="11" xfId="0" applyFont="1" applyFill="1" applyBorder="1" applyAlignment="1">
      <alignment horizontal="center" vertical="center"/>
    </xf>
    <xf numFmtId="0" fontId="15" fillId="11" borderId="16" xfId="0" applyFont="1" applyFill="1" applyBorder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39" fillId="7" borderId="4" xfId="0" applyFont="1" applyFill="1" applyBorder="1" applyAlignment="1">
      <alignment horizontal="center" vertical="center"/>
    </xf>
    <xf numFmtId="0" fontId="39" fillId="7" borderId="0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  <protection locked="0"/>
    </xf>
    <xf numFmtId="0" fontId="39" fillId="11" borderId="11" xfId="0" applyFont="1" applyFill="1" applyBorder="1" applyAlignment="1">
      <alignment horizontal="center" vertical="center"/>
    </xf>
    <xf numFmtId="0" fontId="39" fillId="11" borderId="16" xfId="0" applyFont="1" applyFill="1" applyBorder="1" applyAlignment="1">
      <alignment horizontal="center" vertical="center"/>
    </xf>
    <xf numFmtId="0" fontId="0" fillId="16" borderId="6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6" borderId="9" xfId="0" applyFill="1" applyBorder="1" applyAlignment="1">
      <alignment horizontal="center" vertical="center"/>
    </xf>
    <xf numFmtId="0" fontId="0" fillId="16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3" borderId="0" xfId="0" applyFill="1" applyAlignment="1">
      <alignment horizontal="left"/>
    </xf>
    <xf numFmtId="0" fontId="0" fillId="10" borderId="6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20" borderId="1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0" fillId="18" borderId="9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0" xfId="0" applyFill="1" applyBorder="1" applyAlignment="1">
      <alignment horizontal="center" vertical="center"/>
    </xf>
    <xf numFmtId="0" fontId="0" fillId="13" borderId="16" xfId="0" applyFill="1" applyBorder="1" applyAlignment="1">
      <alignment horizontal="center" vertical="center"/>
    </xf>
    <xf numFmtId="0" fontId="0" fillId="13" borderId="17" xfId="0" applyFill="1" applyBorder="1" applyAlignment="1">
      <alignment horizontal="center" vertical="center"/>
    </xf>
    <xf numFmtId="0" fontId="0" fillId="16" borderId="18" xfId="0" applyFill="1" applyBorder="1" applyAlignment="1">
      <alignment horizontal="center"/>
    </xf>
    <xf numFmtId="0" fontId="0" fillId="5" borderId="9" xfId="0" applyFill="1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0" fontId="0" fillId="13" borderId="6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16" borderId="1" xfId="0" applyFill="1" applyBorder="1" applyAlignment="1">
      <alignment horizontal="center"/>
    </xf>
    <xf numFmtId="14" fontId="37" fillId="0" borderId="6" xfId="1" applyNumberFormat="1" applyFont="1" applyFill="1" applyBorder="1" applyAlignment="1" applyProtection="1">
      <alignment horizontal="center" vertical="center" wrapText="1"/>
    </xf>
    <xf numFmtId="14" fontId="37" fillId="0" borderId="2" xfId="1" applyNumberFormat="1" applyFont="1" applyFill="1" applyBorder="1" applyAlignment="1" applyProtection="1">
      <alignment horizontal="center" vertical="center" wrapText="1"/>
    </xf>
    <xf numFmtId="0" fontId="35" fillId="30" borderId="1" xfId="0" applyFont="1" applyFill="1" applyBorder="1" applyAlignment="1">
      <alignment horizontal="center" vertical="center"/>
    </xf>
    <xf numFmtId="0" fontId="37" fillId="0" borderId="6" xfId="0" applyFont="1" applyFill="1" applyBorder="1" applyAlignment="1">
      <alignment horizontal="center" vertical="center" wrapText="1"/>
    </xf>
    <xf numFmtId="0" fontId="37" fillId="0" borderId="2" xfId="0" applyFont="1" applyFill="1" applyBorder="1" applyAlignment="1">
      <alignment horizontal="center" vertical="center" wrapText="1"/>
    </xf>
  </cellXfs>
  <cellStyles count="2">
    <cellStyle name="常规" xfId="0" builtinId="0"/>
    <cellStyle name="超链接" xfId="1" builtinId="8"/>
  </cellStyles>
  <dxfs count="6">
    <dxf>
      <font>
        <color theme="0"/>
      </font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color theme="0"/>
      </font>
      <numFmt numFmtId="0" formatCode="General"/>
      <fill>
        <gradientFill degree="90">
          <stop position="0">
            <color theme="0"/>
          </stop>
          <stop position="1">
            <color theme="0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u val="none"/>
        <color theme="0"/>
      </font>
      <fill>
        <patternFill patternType="solid">
          <fgColor theme="0"/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0351;&#29992;&#35828;&#26126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20351;&#29992;&#35828;&#26126;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0</xdr:rowOff>
    </xdr:from>
    <xdr:ext cx="15154275" cy="904876"/>
    <xdr:sp macro="" textlink="">
      <xdr:nvSpPr>
        <xdr:cNvPr id="2" name="文本框 1">
          <a:hlinkClick xmlns:r="http://schemas.openxmlformats.org/officeDocument/2006/relationships" r:id="rId1"/>
        </xdr:cNvPr>
        <xdr:cNvSpPr txBox="1"/>
      </xdr:nvSpPr>
      <xdr:spPr>
        <a:xfrm>
          <a:off x="0" y="4638675"/>
          <a:ext cx="15154275" cy="904876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800" b="1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使用说明：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将</a:t>
          </a:r>
          <a:r>
            <a:rPr lang="zh-CN" altLang="en-US" sz="18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红色字体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的参数对应填写，将计算结果</a:t>
          </a:r>
          <a:r>
            <a:rPr lang="en-US" altLang="zh-CN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(</a:t>
          </a:r>
          <a:r>
            <a:rPr lang="zh-CN" altLang="en-US" sz="1800">
              <a:solidFill>
                <a:srgbClr val="7030A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紫色字体</a:t>
          </a:r>
          <a:r>
            <a:rPr lang="en-US" altLang="zh-CN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)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更新修改至</a:t>
          </a:r>
          <a:r>
            <a:rPr lang="en-US" altLang="zh-CN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lcd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驱动配置中（</a:t>
          </a:r>
          <a:r>
            <a:rPr lang="en-US" altLang="zh-CN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uboot+kernel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），</a:t>
          </a:r>
          <a:r>
            <a:rPr lang="en-US" altLang="zh-CN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lcd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驱动配置请参考</a:t>
          </a:r>
          <a:r>
            <a:rPr lang="en-US" altLang="zh-CN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unisoc</a:t>
          </a:r>
          <a:r>
            <a:rPr lang="en-US" altLang="zh-CN" sz="1800" baseline="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 </a:t>
          </a:r>
          <a:r>
            <a:rPr lang="en-US" altLang="zh-CN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mipi lcd config 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文档</a:t>
          </a:r>
          <a:endParaRPr lang="en-US" altLang="zh-CN" sz="1800">
            <a:solidFill>
              <a:schemeClr val="accent6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Arial Unicode MS" panose="020B0604020202020204" pitchFamily="34" charset="-122"/>
          </a:endParaRPr>
        </a:p>
        <a:p>
          <a:endParaRPr lang="en-US" altLang="zh-CN" sz="1800">
            <a:solidFill>
              <a:srgbClr val="FF0000"/>
            </a:solidFill>
            <a:effectLst/>
            <a:latin typeface="Arial Unicode MS" panose="020B0604020202020204" pitchFamily="34" charset="-122"/>
            <a:ea typeface="Arial Unicode MS" panose="020B0604020202020204" pitchFamily="34" charset="-122"/>
            <a:cs typeface="Arial Unicode MS" panose="020B0604020202020204" pitchFamily="34" charset="-122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18</xdr:row>
      <xdr:rowOff>266699</xdr:rowOff>
    </xdr:from>
    <xdr:ext cx="15354300" cy="2143125"/>
    <xdr:sp macro="" textlink="">
      <xdr:nvSpPr>
        <xdr:cNvPr id="3" name="文本框 2">
          <a:hlinkClick xmlns:r="http://schemas.openxmlformats.org/officeDocument/2006/relationships" r:id="rId1"/>
        </xdr:cNvPr>
        <xdr:cNvSpPr txBox="1"/>
      </xdr:nvSpPr>
      <xdr:spPr>
        <a:xfrm>
          <a:off x="0" y="5514974"/>
          <a:ext cx="15354300" cy="2143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使用说明：将</a:t>
          </a:r>
          <a:r>
            <a:rPr lang="zh-CN" altLang="en-US" sz="18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红色字体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的参数对应填写，将所有修改的值和计算结果更新修改至</a:t>
          </a:r>
          <a:r>
            <a:rPr lang="en-US" altLang="zh-CN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lcd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驱动配置中（</a:t>
          </a:r>
          <a:r>
            <a:rPr lang="en-US" altLang="zh-CN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uboot+kernel</a:t>
          </a:r>
          <a:r>
            <a:rPr lang="zh-CN" altLang="en-US" sz="18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）</a:t>
          </a:r>
          <a:endParaRPr lang="en-US" altLang="zh-CN" sz="1800">
            <a:solidFill>
              <a:schemeClr val="accent6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Arial Unicode MS" panose="020B0604020202020204" pitchFamily="34" charset="-122"/>
          </a:endParaRPr>
        </a:p>
        <a:p>
          <a:r>
            <a:rPr lang="en-US" altLang="zh-CN" sz="1800" u="none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	</a:t>
          </a:r>
          <a:r>
            <a:rPr lang="en-US" altLang="zh-CN" sz="1800" u="none" baseline="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   </a:t>
          </a:r>
          <a:r>
            <a:rPr lang="zh-CN" altLang="en-US" sz="1800" u="none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选项</a:t>
          </a:r>
          <a:r>
            <a:rPr lang="en-US" altLang="zh-CN" sz="1800" u="sng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pixel_clrsrc</a:t>
          </a:r>
          <a:r>
            <a:rPr lang="zh-CN" altLang="en-US" sz="18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：一般情况都是使用默认值，如果在调整</a:t>
          </a:r>
          <a:r>
            <a:rPr lang="en-US" altLang="zh-CN" sz="18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proch</a:t>
          </a:r>
          <a:r>
            <a:rPr lang="zh-CN" altLang="en-US" sz="18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，还是无法达到</a:t>
          </a:r>
          <a:r>
            <a:rPr lang="en-US" altLang="zh-CN" sz="18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fps(</a:t>
          </a:r>
          <a:r>
            <a:rPr lang="zh-CN" altLang="en-US" sz="18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期望帧率</a:t>
          </a:r>
          <a:r>
            <a:rPr lang="en-US" altLang="zh-CN" sz="18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)</a:t>
          </a:r>
          <a:r>
            <a:rPr lang="zh-CN" altLang="en-US" sz="18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，可以选择其他值（自配置值）</a:t>
          </a:r>
          <a:r>
            <a:rPr lang="zh-CN" altLang="zh-CN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，</a:t>
          </a:r>
          <a:r>
            <a:rPr lang="zh-CN" altLang="en-US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确定需要自 </a:t>
          </a:r>
          <a:r>
            <a:rPr lang="en-US" altLang="zh-CN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		</a:t>
          </a:r>
          <a:r>
            <a:rPr lang="zh-CN" altLang="en-US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配置值，软件需要确认是否需要修改，这点可以提</a:t>
          </a:r>
          <a:r>
            <a:rPr lang="en-US" altLang="zh-CN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cq</a:t>
          </a:r>
          <a:r>
            <a:rPr lang="zh-CN" altLang="en-US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和展锐确认。如果之前软件已使用自配置值，在计算</a:t>
          </a:r>
          <a:r>
            <a:rPr lang="en-US" altLang="zh-CN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fps</a:t>
          </a:r>
          <a:r>
            <a:rPr lang="zh-CN" altLang="en-US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，务必要选择自配置值。</a:t>
          </a:r>
          <a:endParaRPr lang="en-US" altLang="zh-CN" sz="1800">
            <a:solidFill>
              <a:srgbClr val="FF0000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Arial Unicode MS" panose="020B0604020202020204" pitchFamily="34" charset="-122"/>
          </a:endParaRPr>
        </a:p>
        <a:p>
          <a:r>
            <a:rPr lang="en-US" altLang="zh-CN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	   </a:t>
          </a:r>
          <a:r>
            <a:rPr lang="zh-CN" altLang="en-US" sz="18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选项</a:t>
          </a:r>
          <a:r>
            <a:rPr lang="en-US" altLang="zh-CN" sz="1800" u="sng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product</a:t>
          </a:r>
          <a:r>
            <a:rPr lang="zh-CN" altLang="en-US" sz="1800" u="none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：务必做一次选择动作，选择</a:t>
          </a:r>
          <a:r>
            <a:rPr lang="en-US" altLang="zh-CN" sz="1800" u="none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product</a:t>
          </a:r>
          <a:r>
            <a:rPr lang="zh-CN" altLang="en-US" sz="1800" u="none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后，</a:t>
          </a:r>
          <a:r>
            <a:rPr lang="en-US" altLang="zh-CN" sz="1800" u="none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pixel_clrsrc</a:t>
          </a:r>
          <a:r>
            <a:rPr lang="zh-CN" altLang="en-US" sz="1800" u="none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会自动恢复为默认值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190500</xdr:rowOff>
    </xdr:from>
    <xdr:to>
      <xdr:col>12</xdr:col>
      <xdr:colOff>0</xdr:colOff>
      <xdr:row>25</xdr:row>
      <xdr:rowOff>95250</xdr:rowOff>
    </xdr:to>
    <xdr:sp macro="" textlink="">
      <xdr:nvSpPr>
        <xdr:cNvPr id="6" name="圆角矩形 5"/>
        <xdr:cNvSpPr/>
      </xdr:nvSpPr>
      <xdr:spPr>
        <a:xfrm>
          <a:off x="3429000" y="2676525"/>
          <a:ext cx="7067550" cy="1714500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0</xdr:col>
      <xdr:colOff>276225</xdr:colOff>
      <xdr:row>20</xdr:row>
      <xdr:rowOff>19050</xdr:rowOff>
    </xdr:from>
    <xdr:to>
      <xdr:col>3</xdr:col>
      <xdr:colOff>0</xdr:colOff>
      <xdr:row>29</xdr:row>
      <xdr:rowOff>104775</xdr:rowOff>
    </xdr:to>
    <xdr:sp macro="" textlink="">
      <xdr:nvSpPr>
        <xdr:cNvPr id="2" name="矩形 1"/>
        <xdr:cNvSpPr/>
      </xdr:nvSpPr>
      <xdr:spPr>
        <a:xfrm>
          <a:off x="276225" y="3048000"/>
          <a:ext cx="1781175" cy="21145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523874</xdr:colOff>
      <xdr:row>11</xdr:row>
      <xdr:rowOff>0</xdr:rowOff>
    </xdr:from>
    <xdr:to>
      <xdr:col>16</xdr:col>
      <xdr:colOff>171449</xdr:colOff>
      <xdr:row>17</xdr:row>
      <xdr:rowOff>28575</xdr:rowOff>
    </xdr:to>
    <xdr:sp macro="" textlink="">
      <xdr:nvSpPr>
        <xdr:cNvPr id="3" name="矩形 2"/>
        <xdr:cNvSpPr/>
      </xdr:nvSpPr>
      <xdr:spPr>
        <a:xfrm>
          <a:off x="11020424" y="542925"/>
          <a:ext cx="2390775" cy="16859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0</xdr:col>
      <xdr:colOff>227240</xdr:colOff>
      <xdr:row>30</xdr:row>
      <xdr:rowOff>176893</xdr:rowOff>
    </xdr:from>
    <xdr:to>
      <xdr:col>2</xdr:col>
      <xdr:colOff>130629</xdr:colOff>
      <xdr:row>32</xdr:row>
      <xdr:rowOff>32657</xdr:rowOff>
    </xdr:to>
    <xdr:sp macro="" textlink="">
      <xdr:nvSpPr>
        <xdr:cNvPr id="4" name="矩形 3"/>
        <xdr:cNvSpPr/>
      </xdr:nvSpPr>
      <xdr:spPr>
        <a:xfrm>
          <a:off x="227240" y="10572750"/>
          <a:ext cx="1631496" cy="236764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619125</xdr:colOff>
      <xdr:row>37</xdr:row>
      <xdr:rowOff>0</xdr:rowOff>
    </xdr:from>
    <xdr:to>
      <xdr:col>15</xdr:col>
      <xdr:colOff>0</xdr:colOff>
      <xdr:row>38</xdr:row>
      <xdr:rowOff>47625</xdr:rowOff>
    </xdr:to>
    <xdr:sp macro="" textlink="">
      <xdr:nvSpPr>
        <xdr:cNvPr id="5" name="矩形 4"/>
        <xdr:cNvSpPr/>
      </xdr:nvSpPr>
      <xdr:spPr>
        <a:xfrm>
          <a:off x="11115675" y="6581775"/>
          <a:ext cx="1438275" cy="238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468086</xdr:colOff>
      <xdr:row>20</xdr:row>
      <xdr:rowOff>36740</xdr:rowOff>
    </xdr:from>
    <xdr:to>
      <xdr:col>4</xdr:col>
      <xdr:colOff>615729</xdr:colOff>
      <xdr:row>22</xdr:row>
      <xdr:rowOff>41240</xdr:rowOff>
    </xdr:to>
    <xdr:sp macro="" textlink="">
      <xdr:nvSpPr>
        <xdr:cNvPr id="8" name="左箭头 7"/>
        <xdr:cNvSpPr/>
      </xdr:nvSpPr>
      <xdr:spPr>
        <a:xfrm>
          <a:off x="2876550" y="7860847"/>
          <a:ext cx="828000" cy="576000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>
              <a:solidFill>
                <a:srgbClr val="FF0000"/>
              </a:solidFill>
            </a:rPr>
            <a:t>update</a:t>
          </a:r>
          <a:endParaRPr lang="zh-CN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0</xdr:colOff>
      <xdr:row>20</xdr:row>
      <xdr:rowOff>85725</xdr:rowOff>
    </xdr:from>
    <xdr:to>
      <xdr:col>13</xdr:col>
      <xdr:colOff>111643</xdr:colOff>
      <xdr:row>22</xdr:row>
      <xdr:rowOff>90225</xdr:rowOff>
    </xdr:to>
    <xdr:sp macro="" textlink="">
      <xdr:nvSpPr>
        <xdr:cNvPr id="9" name="右箭头 8"/>
        <xdr:cNvSpPr/>
      </xdr:nvSpPr>
      <xdr:spPr>
        <a:xfrm>
          <a:off x="10831286" y="7909832"/>
          <a:ext cx="792000" cy="576000"/>
        </a:xfrm>
        <a:prstGeom prst="righ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>
              <a:solidFill>
                <a:srgbClr val="FF0000"/>
              </a:solidFill>
            </a:rPr>
            <a:t>update</a:t>
          </a:r>
          <a:endParaRPr lang="zh-CN" altLang="en-US" sz="1100" b="1">
            <a:solidFill>
              <a:srgbClr val="FF000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5620999" cy="3701142"/>
    <xdr:sp macro="" textlink="">
      <xdr:nvSpPr>
        <xdr:cNvPr id="13" name="文本框 12"/>
        <xdr:cNvSpPr txBox="1"/>
      </xdr:nvSpPr>
      <xdr:spPr>
        <a:xfrm>
          <a:off x="0" y="0"/>
          <a:ext cx="15620999" cy="3701142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20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使用说明</a:t>
          </a:r>
          <a:r>
            <a:rPr lang="en-US" altLang="zh-CN" sz="20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(lcd(mipi) legacy)</a:t>
          </a:r>
          <a:r>
            <a:rPr lang="zh-CN" altLang="en-US" sz="20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：将</a:t>
          </a:r>
          <a:r>
            <a:rPr lang="zh-CN" altLang="en-US" sz="20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红色字体</a:t>
          </a:r>
          <a:r>
            <a:rPr lang="zh-CN" altLang="en-US" sz="20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的参数对应填写，将所有修改的值和计算结果更新修改至</a:t>
          </a:r>
          <a:r>
            <a:rPr lang="en-US" altLang="zh-CN" sz="20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lcd</a:t>
          </a:r>
          <a:r>
            <a:rPr lang="zh-CN" altLang="en-US" sz="20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驱动配置中（</a:t>
          </a:r>
          <a:r>
            <a:rPr lang="en-US" altLang="zh-CN" sz="20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uboot+kernel</a:t>
          </a:r>
          <a:r>
            <a:rPr lang="zh-CN" altLang="en-US" sz="200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）</a:t>
          </a:r>
          <a:endParaRPr lang="en-US" altLang="zh-CN" sz="2000">
            <a:solidFill>
              <a:schemeClr val="accent6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Arial Unicode MS" panose="020B0604020202020204" pitchFamily="34" charset="-122"/>
          </a:endParaRPr>
        </a:p>
        <a:p>
          <a:r>
            <a:rPr lang="zh-CN" altLang="en-US" sz="2000" u="sng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选项</a:t>
          </a:r>
          <a:r>
            <a:rPr lang="en-US" altLang="zh-CN" sz="2000" u="sng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pixel_clrsrc</a:t>
          </a:r>
          <a:r>
            <a:rPr lang="zh-CN" altLang="en-US" sz="20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：一般情况都是使用默认值，如果在调整</a:t>
          </a:r>
          <a:r>
            <a:rPr lang="en-US" altLang="zh-CN" sz="20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proch</a:t>
          </a:r>
          <a:r>
            <a:rPr lang="zh-CN" altLang="en-US" sz="20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，还是无法达到</a:t>
          </a:r>
          <a:r>
            <a:rPr lang="en-US" altLang="zh-CN" sz="20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fps(</a:t>
          </a:r>
          <a:r>
            <a:rPr lang="zh-CN" altLang="en-US" sz="20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期望帧率</a:t>
          </a:r>
          <a:r>
            <a:rPr lang="en-US" altLang="zh-CN" sz="20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)</a:t>
          </a:r>
          <a:r>
            <a:rPr lang="zh-CN" altLang="en-US" sz="2000">
              <a:solidFill>
                <a:srgbClr val="FF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，可以选择其他值（自配置值）</a:t>
          </a:r>
          <a:r>
            <a:rPr lang="zh-CN" altLang="zh-CN" sz="20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，</a:t>
          </a:r>
          <a:r>
            <a:rPr lang="zh-CN" altLang="en-US" sz="20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确定需要自配置值，软件需要确认是否需要修改，这点可以提</a:t>
          </a:r>
          <a:r>
            <a:rPr lang="en-US" altLang="zh-CN" sz="20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cq</a:t>
          </a:r>
          <a:r>
            <a:rPr lang="zh-CN" altLang="en-US" sz="20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和展锐确认。如果之前软件已使用自配置值，在计算</a:t>
          </a:r>
          <a:r>
            <a:rPr lang="en-US" altLang="zh-CN" sz="20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fps</a:t>
          </a:r>
          <a:r>
            <a:rPr lang="zh-CN" altLang="en-US" sz="2000">
              <a:solidFill>
                <a:srgbClr val="FF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，务必要选择自配置值。</a:t>
          </a:r>
          <a:endParaRPr lang="en-US" altLang="zh-CN" sz="2000">
            <a:solidFill>
              <a:srgbClr val="FF0000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Arial Unicode MS" panose="020B0604020202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选项</a:t>
          </a:r>
          <a:r>
            <a:rPr kumimoji="0" lang="en-US" altLang="zh-CN" sz="20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product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：务必做一次选择动作，选择</a:t>
          </a:r>
          <a:r>
            <a:rPr kumimoji="0" lang="en-US" altLang="zh-CN" sz="20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product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后，</a:t>
          </a:r>
          <a:r>
            <a:rPr kumimoji="0" lang="en-US" altLang="zh-CN" sz="20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pixel_clrsrc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会自动恢复为默认值</a:t>
          </a:r>
        </a:p>
        <a:p>
          <a:endParaRPr lang="en-US" altLang="zh-CN" sz="2000">
            <a:solidFill>
              <a:srgbClr val="FF0000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Arial Unicode MS" panose="020B0604020202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CN" sz="18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Microsoft YaHei UI" panose="020B0503020204020204" pitchFamily="34" charset="-122"/>
            <a:ea typeface="Microsoft YaHei UI" panose="020B0503020204020204" pitchFamily="34" charset="-122"/>
            <a:cs typeface="Arial Unicode MS" panose="020B0604020202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chemeClr val="accent6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使用说明</a:t>
          </a:r>
          <a:r>
            <a:rPr kumimoji="0" lang="en-US" altLang="zh-CN" sz="24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(</a:t>
          </a:r>
          <a:r>
            <a:rPr kumimoji="0" lang="en-US" altLang="zh-CN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lcd(mipi</a:t>
          </a:r>
          <a:r>
            <a:rPr kumimoji="0" lang="en-US" altLang="zh-CN" sz="24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) main)</a:t>
          </a:r>
          <a:r>
            <a:rPr kumimoji="0" lang="zh-CN" altLang="en-US" sz="2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：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将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红色字体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的参数对应填写，将所有修改的值和计算结果更新修改至</a:t>
          </a:r>
          <a:r>
            <a:rPr kumimoji="0" lang="en-US" altLang="zh-CN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lcd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驱动配置中（</a:t>
          </a:r>
          <a:r>
            <a:rPr kumimoji="0" lang="en-US" altLang="zh-CN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uboot+kernel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），</a:t>
          </a:r>
          <a:r>
            <a:rPr kumimoji="0" lang="en-US" altLang="zh-CN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lcd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驱动配置请参考</a:t>
          </a:r>
          <a:r>
            <a:rPr kumimoji="0" lang="en-US" altLang="zh-CN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mipi lcd config </a:t>
          </a:r>
          <a:r>
            <a:rPr kumimoji="0" lang="zh-CN" altLang="en-US" sz="2000" b="0" i="0" u="none" strike="noStrike" kern="0" cap="none" spc="0" normalizeH="0" baseline="0" noProof="0">
              <a:ln>
                <a:noFill/>
              </a:ln>
              <a:solidFill>
                <a:srgbClr val="F79646">
                  <a:lumMod val="75000"/>
                </a:srgb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Arial Unicode MS" panose="020B0604020202020204" pitchFamily="34" charset="-122"/>
            </a:rPr>
            <a:t>文档</a:t>
          </a:r>
          <a:endParaRPr kumimoji="0" lang="en-US" altLang="zh-CN" sz="2000" b="0" i="0" u="none" strike="noStrike" kern="0" cap="none" spc="0" normalizeH="0" baseline="0" noProof="0">
            <a:ln>
              <a:noFill/>
            </a:ln>
            <a:solidFill>
              <a:srgbClr val="F79646">
                <a:lumMod val="75000"/>
              </a:srgbClr>
            </a:solidFill>
            <a:effectLst/>
            <a:uLnTx/>
            <a:uFillTx/>
            <a:latin typeface="Microsoft YaHei UI" panose="020B0503020204020204" pitchFamily="34" charset="-122"/>
            <a:ea typeface="Microsoft YaHei UI" panose="020B0503020204020204" pitchFamily="34" charset="-122"/>
            <a:cs typeface="Arial Unicode MS" panose="020B0604020202020204" pitchFamily="34" charset="-122"/>
          </a:endParaRPr>
        </a:p>
        <a:p>
          <a:endParaRPr lang="zh-CN" altLang="en-US" sz="2000">
            <a:solidFill>
              <a:srgbClr val="FF0000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Arial Unicode MS" panose="020B0604020202020204" pitchFamily="34" charset="-122"/>
          </a:endParaRPr>
        </a:p>
      </xdr:txBody>
    </xdr:sp>
    <xdr:clientData/>
  </xdr:oneCellAnchor>
  <xdr:oneCellAnchor>
    <xdr:from>
      <xdr:col>0</xdr:col>
      <xdr:colOff>0</xdr:colOff>
      <xdr:row>8</xdr:row>
      <xdr:rowOff>272144</xdr:rowOff>
    </xdr:from>
    <xdr:ext cx="15607393" cy="421822"/>
    <xdr:sp macro="" textlink="">
      <xdr:nvSpPr>
        <xdr:cNvPr id="7" name="文本框 6"/>
        <xdr:cNvSpPr txBox="1"/>
      </xdr:nvSpPr>
      <xdr:spPr>
        <a:xfrm>
          <a:off x="0" y="4925787"/>
          <a:ext cx="15607393" cy="421822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2000"/>
            <a:t>参数</a:t>
          </a:r>
          <a:r>
            <a:rPr lang="en-US" altLang="zh-CN" sz="2000"/>
            <a:t>update</a:t>
          </a:r>
          <a:r>
            <a:rPr lang="zh-CN" altLang="en-US" sz="2000"/>
            <a:t>示例（</a:t>
          </a:r>
          <a:r>
            <a:rPr lang="zh-CN" altLang="en-US" sz="2000" b="1">
              <a:solidFill>
                <a:srgbClr val="FF0000"/>
              </a:solidFill>
            </a:rPr>
            <a:t>注意</a:t>
          </a:r>
          <a:r>
            <a:rPr lang="en-US" altLang="zh-CN" sz="2000" b="1">
              <a:solidFill>
                <a:srgbClr val="FF0000"/>
              </a:solidFill>
            </a:rPr>
            <a:t>kernel</a:t>
          </a:r>
          <a:r>
            <a:rPr lang="zh-CN" altLang="en-US" sz="2000" b="1">
              <a:solidFill>
                <a:srgbClr val="FF0000"/>
              </a:solidFill>
            </a:rPr>
            <a:t>中</a:t>
          </a:r>
          <a:r>
            <a:rPr lang="en-US" altLang="zh-CN" sz="2000" b="1">
              <a:solidFill>
                <a:srgbClr val="FF0000"/>
              </a:solidFill>
            </a:rPr>
            <a:t>lcd</a:t>
          </a:r>
          <a:r>
            <a:rPr lang="zh-CN" altLang="en-US" sz="2000" b="1">
              <a:solidFill>
                <a:srgbClr val="FF0000"/>
              </a:solidFill>
            </a:rPr>
            <a:t>驱动配置也需要同步修改</a:t>
          </a:r>
          <a:r>
            <a:rPr lang="zh-CN" altLang="en-US" sz="2000"/>
            <a:t>）</a:t>
          </a:r>
        </a:p>
      </xdr:txBody>
    </xdr:sp>
    <xdr:clientData/>
  </xdr:oneCellAnchor>
  <xdr:oneCellAnchor>
    <xdr:from>
      <xdr:col>0</xdr:col>
      <xdr:colOff>0</xdr:colOff>
      <xdr:row>46</xdr:row>
      <xdr:rowOff>0</xdr:rowOff>
    </xdr:from>
    <xdr:ext cx="15607393" cy="2530929"/>
    <xdr:sp macro="" textlink="">
      <xdr:nvSpPr>
        <xdr:cNvPr id="11" name="文本框 10"/>
        <xdr:cNvSpPr txBox="1"/>
      </xdr:nvSpPr>
      <xdr:spPr>
        <a:xfrm>
          <a:off x="0" y="11266714"/>
          <a:ext cx="15607393" cy="2530929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2000"/>
            <a:t>运行检查：</a:t>
          </a:r>
          <a:endParaRPr lang="en-US" altLang="zh-CN" sz="2000"/>
        </a:p>
        <a:p>
          <a:r>
            <a:rPr lang="zh-CN" altLang="en-US" sz="2000"/>
            <a:t>                  手机连接</a:t>
          </a:r>
          <a:r>
            <a:rPr lang="en-US" altLang="zh-CN" sz="2000"/>
            <a:t>PC</a:t>
          </a:r>
          <a:r>
            <a:rPr lang="zh-CN" altLang="en-US" sz="2000"/>
            <a:t>，</a:t>
          </a:r>
          <a:r>
            <a:rPr lang="en-US" altLang="zh-CN" sz="2000"/>
            <a:t>adb</a:t>
          </a:r>
          <a:r>
            <a:rPr lang="zh-CN" altLang="en-US" sz="2000"/>
            <a:t>操作</a:t>
          </a:r>
          <a:endParaRPr lang="en-US" altLang="zh-CN" sz="2000"/>
        </a:p>
        <a:p>
          <a:r>
            <a:rPr lang="en-US" altLang="zh-CN" sz="2000"/>
            <a:t>                   adb</a:t>
          </a:r>
          <a:r>
            <a:rPr lang="en-US" altLang="zh-CN" sz="2000" baseline="0"/>
            <a:t> root</a:t>
          </a:r>
        </a:p>
        <a:p>
          <a:r>
            <a:rPr lang="en-US" altLang="zh-CN" sz="2000" baseline="0"/>
            <a:t>                   adb shell </a:t>
          </a:r>
        </a:p>
        <a:p>
          <a:r>
            <a:rPr lang="en-US" altLang="zh-CN" sz="2000" baseline="0"/>
            <a:t>                  # cat /sys/class/display/dispc0/actual_fps </a:t>
          </a:r>
        </a:p>
        <a:p>
          <a:r>
            <a:rPr lang="zh-CN" altLang="en-US" sz="2000" baseline="0"/>
            <a:t>如都配置正确那么</a:t>
          </a:r>
          <a:r>
            <a:rPr lang="en-US" altLang="zh-CN" sz="2000" baseline="0"/>
            <a:t>cat </a:t>
          </a:r>
          <a:r>
            <a:rPr lang="zh-CN" altLang="en-US" sz="2000" baseline="0"/>
            <a:t>的值和计算的</a:t>
          </a:r>
          <a:r>
            <a:rPr lang="en-US" altLang="zh-CN" sz="2000" baseline="0"/>
            <a:t>fps(</a:t>
          </a:r>
          <a:r>
            <a:rPr lang="zh-CN" altLang="en-US" sz="2000" baseline="0"/>
            <a:t>实际帧率</a:t>
          </a:r>
          <a:r>
            <a:rPr lang="en-US" altLang="zh-CN" sz="2000" baseline="0"/>
            <a:t>)</a:t>
          </a:r>
          <a:r>
            <a:rPr lang="zh-CN" altLang="en-US" sz="2000" baseline="0"/>
            <a:t>是一致的，否则</a:t>
          </a:r>
          <a:r>
            <a:rPr lang="zh-CN" altLang="en-US" sz="2000" b="1" baseline="0">
              <a:solidFill>
                <a:srgbClr val="FF0000"/>
              </a:solidFill>
            </a:rPr>
            <a:t>说明软件配置和</a:t>
          </a:r>
          <a:r>
            <a:rPr lang="en-US" altLang="zh-CN" sz="2000" b="1" baseline="0">
              <a:solidFill>
                <a:srgbClr val="FF0000"/>
              </a:solidFill>
            </a:rPr>
            <a:t>excel</a:t>
          </a:r>
          <a:r>
            <a:rPr lang="zh-CN" altLang="en-US" sz="2000" b="1" baseline="0">
              <a:solidFill>
                <a:srgbClr val="FF0000"/>
              </a:solidFill>
            </a:rPr>
            <a:t>中的参数有存在不一致的情况</a:t>
          </a:r>
          <a:endParaRPr lang="en-US" altLang="zh-CN" sz="2000" b="1" baseline="0">
            <a:solidFill>
              <a:srgbClr val="FF0000"/>
            </a:solidFill>
          </a:endParaRPr>
        </a:p>
        <a:p>
          <a:endParaRPr lang="zh-CN" altLang="en-US" sz="2000"/>
        </a:p>
      </xdr:txBody>
    </xdr:sp>
    <xdr:clientData/>
  </xdr:oneCellAnchor>
  <xdr:oneCellAnchor>
    <xdr:from>
      <xdr:col>20</xdr:col>
      <xdr:colOff>340178</xdr:colOff>
      <xdr:row>1</xdr:row>
      <xdr:rowOff>122464</xdr:rowOff>
    </xdr:from>
    <xdr:ext cx="184731" cy="264560"/>
    <xdr:sp macro="" textlink="">
      <xdr:nvSpPr>
        <xdr:cNvPr id="10" name="文本框 9"/>
        <xdr:cNvSpPr txBox="1"/>
      </xdr:nvSpPr>
      <xdr:spPr>
        <a:xfrm>
          <a:off x="16614321" y="4626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13608</xdr:colOff>
      <xdr:row>0</xdr:row>
      <xdr:rowOff>0</xdr:rowOff>
    </xdr:from>
    <xdr:ext cx="952500" cy="17893393"/>
    <xdr:sp macro="" textlink="">
      <xdr:nvSpPr>
        <xdr:cNvPr id="12" name="文本框 11"/>
        <xdr:cNvSpPr txBox="1"/>
      </xdr:nvSpPr>
      <xdr:spPr>
        <a:xfrm>
          <a:off x="15906751" y="0"/>
          <a:ext cx="952500" cy="178933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6000"/>
            <a:t>请</a:t>
          </a:r>
          <a:endParaRPr lang="en-US" altLang="zh-CN" sz="6000"/>
        </a:p>
        <a:p>
          <a:endParaRPr lang="en-US" altLang="zh-CN" sz="6000"/>
        </a:p>
        <a:p>
          <a:r>
            <a:rPr lang="zh-CN" altLang="en-US" sz="6000"/>
            <a:t>往</a:t>
          </a:r>
          <a:endParaRPr lang="en-US" altLang="zh-CN" sz="6000"/>
        </a:p>
        <a:p>
          <a:endParaRPr lang="en-US" altLang="zh-CN" sz="6000"/>
        </a:p>
        <a:p>
          <a:r>
            <a:rPr lang="zh-CN" altLang="en-US" sz="6000"/>
            <a:t>下</a:t>
          </a:r>
          <a:endParaRPr lang="en-US" altLang="zh-CN" sz="6000"/>
        </a:p>
        <a:p>
          <a:endParaRPr lang="en-US" altLang="zh-CN" sz="6000"/>
        </a:p>
        <a:p>
          <a:r>
            <a:rPr lang="zh-CN" altLang="en-US" sz="6000"/>
            <a:t>看</a:t>
          </a:r>
          <a:endParaRPr lang="en-US" altLang="zh-CN" sz="6000"/>
        </a:p>
        <a:p>
          <a:endParaRPr lang="en-US" altLang="zh-CN" sz="6000"/>
        </a:p>
        <a:p>
          <a:r>
            <a:rPr lang="zh-CN" altLang="en-US" sz="6000"/>
            <a:t>完</a:t>
          </a:r>
          <a:endParaRPr lang="en-US" altLang="zh-CN" sz="6000"/>
        </a:p>
        <a:p>
          <a:endParaRPr lang="en-US" altLang="zh-CN" sz="6000"/>
        </a:p>
        <a:p>
          <a:r>
            <a:rPr lang="zh-CN" altLang="en-US" sz="6000"/>
            <a:t>所</a:t>
          </a:r>
          <a:endParaRPr lang="en-US" altLang="zh-CN" sz="6000"/>
        </a:p>
        <a:p>
          <a:endParaRPr lang="en-US" altLang="zh-CN" sz="6000"/>
        </a:p>
        <a:p>
          <a:r>
            <a:rPr lang="zh-CN" altLang="en-US" sz="6000"/>
            <a:t>有</a:t>
          </a:r>
          <a:endParaRPr lang="en-US" altLang="zh-CN" sz="6000"/>
        </a:p>
        <a:p>
          <a:endParaRPr lang="en-US" altLang="zh-CN" sz="6000"/>
        </a:p>
        <a:p>
          <a:r>
            <a:rPr lang="zh-CN" altLang="en-US" sz="6000"/>
            <a:t>内</a:t>
          </a:r>
          <a:endParaRPr lang="en-US" altLang="zh-CN" sz="6000"/>
        </a:p>
        <a:p>
          <a:endParaRPr lang="en-US" altLang="zh-CN" sz="6000"/>
        </a:p>
        <a:p>
          <a:r>
            <a:rPr lang="zh-CN" altLang="en-US" sz="6000"/>
            <a:t>容</a:t>
          </a:r>
        </a:p>
      </xdr:txBody>
    </xdr:sp>
    <xdr:clientData/>
  </xdr:oneCellAnchor>
  <xdr:oneCellAnchor>
    <xdr:from>
      <xdr:col>0</xdr:col>
      <xdr:colOff>0</xdr:colOff>
      <xdr:row>62</xdr:row>
      <xdr:rowOff>1</xdr:rowOff>
    </xdr:from>
    <xdr:ext cx="15607393" cy="1755320"/>
    <xdr:sp macro="" textlink="">
      <xdr:nvSpPr>
        <xdr:cNvPr id="14" name="文本框 13"/>
        <xdr:cNvSpPr txBox="1"/>
      </xdr:nvSpPr>
      <xdr:spPr>
        <a:xfrm>
          <a:off x="0" y="16002001"/>
          <a:ext cx="15607393" cy="1755320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2000"/>
            <a:t>展锐支持：如仍有问题，可以提交</a:t>
          </a:r>
          <a:r>
            <a:rPr lang="en-US" altLang="zh-CN" sz="2000"/>
            <a:t>cq</a:t>
          </a:r>
          <a:r>
            <a:rPr lang="zh-CN" altLang="en-US" sz="2000"/>
            <a:t>问题单，并提供如下信息</a:t>
          </a:r>
          <a:endParaRPr lang="en-US" altLang="zh-CN" sz="2000"/>
        </a:p>
        <a:p>
          <a:r>
            <a:rPr lang="zh-CN" altLang="en-US" sz="2000"/>
            <a:t>                      </a:t>
          </a:r>
          <a:r>
            <a:rPr lang="en-US" altLang="zh-CN" sz="2000"/>
            <a:t>1. </a:t>
          </a:r>
          <a:r>
            <a:rPr lang="zh-CN" altLang="en-US" sz="2000"/>
            <a:t>开机串口</a:t>
          </a:r>
          <a:r>
            <a:rPr lang="en-US" altLang="zh-CN" sz="2000"/>
            <a:t>log</a:t>
          </a:r>
          <a:r>
            <a:rPr lang="zh-CN" altLang="en-US" sz="2000"/>
            <a:t>，</a:t>
          </a:r>
          <a:r>
            <a:rPr lang="en-US" altLang="zh-CN" sz="2000"/>
            <a:t>uartlog( kernel dts</a:t>
          </a:r>
          <a:r>
            <a:rPr lang="zh-CN" altLang="en-US" sz="2000"/>
            <a:t>：</a:t>
          </a:r>
          <a:r>
            <a:rPr lang="en-US" altLang="zh-CN" sz="2000"/>
            <a:t> loglevel = 7 </a:t>
          </a:r>
          <a:r>
            <a:rPr lang="zh-CN" altLang="en-US" sz="2000"/>
            <a:t>或下载工具</a:t>
          </a:r>
          <a:r>
            <a:rPr lang="en-US" altLang="zh-CN" sz="2000"/>
            <a:t>option</a:t>
          </a:r>
          <a:r>
            <a:rPr lang="zh-CN" altLang="en-US" sz="2000"/>
            <a:t>勾选 </a:t>
          </a:r>
          <a:r>
            <a:rPr lang="en-US" altLang="zh-CN" sz="2000"/>
            <a:t>debug_mode)</a:t>
          </a:r>
          <a:r>
            <a:rPr lang="en-US" altLang="zh-CN" sz="2000" baseline="0"/>
            <a:t> </a:t>
          </a:r>
        </a:p>
        <a:p>
          <a:r>
            <a:rPr lang="en-US" altLang="zh-CN" sz="2000" baseline="0"/>
            <a:t>                      2. lcd</a:t>
          </a:r>
          <a:r>
            <a:rPr lang="zh-CN" altLang="en-US" sz="2000" baseline="0"/>
            <a:t>驱动配置文件</a:t>
          </a:r>
          <a:r>
            <a:rPr lang="en-US" altLang="zh-CN" sz="2000" baseline="0"/>
            <a:t>  (uboot + kernel)       </a:t>
          </a:r>
        </a:p>
        <a:p>
          <a:endParaRPr lang="en-US" altLang="zh-CN" sz="2000" baseline="0"/>
        </a:p>
        <a:p>
          <a:r>
            <a:rPr lang="zh-CN" altLang="en-US" sz="2000" b="1">
              <a:solidFill>
                <a:srgbClr val="7030A0"/>
              </a:solidFill>
            </a:rPr>
            <a:t>建议与疑问</a:t>
          </a:r>
          <a:r>
            <a:rPr lang="zh-CN" altLang="en-US" sz="2000" b="1" baseline="0">
              <a:solidFill>
                <a:srgbClr val="7030A0"/>
              </a:solidFill>
            </a:rPr>
            <a:t> </a:t>
          </a:r>
          <a:r>
            <a:rPr lang="en-US" altLang="zh-CN" sz="2000" b="1" baseline="0">
              <a:solidFill>
                <a:srgbClr val="7030A0"/>
              </a:solidFill>
            </a:rPr>
            <a:t>weihui.zhang@unisoc.com</a:t>
          </a:r>
          <a:endParaRPr lang="en-US" altLang="zh-CN" sz="2000" b="1">
            <a:solidFill>
              <a:srgbClr val="7030A0"/>
            </a:solidFill>
          </a:endParaRPr>
        </a:p>
      </xdr:txBody>
    </xdr:sp>
    <xdr:clientData/>
  </xdr:oneCellAnchor>
  <xdr:twoCellAnchor>
    <xdr:from>
      <xdr:col>8</xdr:col>
      <xdr:colOff>408215</xdr:colOff>
      <xdr:row>24</xdr:row>
      <xdr:rowOff>81643</xdr:rowOff>
    </xdr:from>
    <xdr:to>
      <xdr:col>8</xdr:col>
      <xdr:colOff>1047751</xdr:colOff>
      <xdr:row>28</xdr:row>
      <xdr:rowOff>75643</xdr:rowOff>
    </xdr:to>
    <xdr:sp macro="" textlink="">
      <xdr:nvSpPr>
        <xdr:cNvPr id="15" name="下箭头 14"/>
        <xdr:cNvSpPr/>
      </xdr:nvSpPr>
      <xdr:spPr>
        <a:xfrm>
          <a:off x="7089322" y="8980714"/>
          <a:ext cx="639536" cy="756000"/>
        </a:xfrm>
        <a:prstGeom prst="down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5</xdr:col>
      <xdr:colOff>1170212</xdr:colOff>
      <xdr:row>29</xdr:row>
      <xdr:rowOff>27212</xdr:rowOff>
    </xdr:from>
    <xdr:ext cx="5021038" cy="2735037"/>
    <xdr:sp macro="" textlink="">
      <xdr:nvSpPr>
        <xdr:cNvPr id="16" name="文本框 15"/>
        <xdr:cNvSpPr txBox="1"/>
      </xdr:nvSpPr>
      <xdr:spPr>
        <a:xfrm>
          <a:off x="4939391" y="9974033"/>
          <a:ext cx="5021038" cy="2735037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altLang="zh-CN" b="0">
              <a:solidFill>
                <a:srgbClr val="96CBFE"/>
              </a:solidFill>
              <a:effectLst/>
              <a:latin typeface="Consolas" panose="020B0609020204030204" pitchFamily="49" charset="0"/>
            </a:rPr>
            <a:t>/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 { </a:t>
          </a:r>
          <a:r>
            <a:rPr lang="en-US" altLang="zh-CN" b="0">
              <a:solidFill>
                <a:srgbClr val="96CBFE"/>
              </a:solidFill>
              <a:effectLst/>
              <a:latin typeface="Consolas" panose="020B0609020204030204" pitchFamily="49" charset="0"/>
            </a:rPr>
            <a:t>lcds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 {</a:t>
          </a:r>
        </a:p>
        <a:p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</a:t>
          </a:r>
          <a:r>
            <a:rPr lang="en-US" altLang="zh-CN" b="0">
              <a:solidFill>
                <a:srgbClr val="4EC9B0"/>
              </a:solidFill>
              <a:effectLst/>
              <a:latin typeface="Consolas" panose="020B0609020204030204" pitchFamily="49" charset="0"/>
            </a:rPr>
            <a:t>lcd_ili9881c_3lane_mipi_hd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: </a:t>
          </a:r>
          <a:r>
            <a:rPr lang="en-US" altLang="zh-CN" b="0">
              <a:solidFill>
                <a:srgbClr val="96CBFE"/>
              </a:solidFill>
              <a:effectLst/>
              <a:latin typeface="Consolas" panose="020B0609020204030204" pitchFamily="49" charset="0"/>
            </a:rPr>
            <a:t>lcd9881@9881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 {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</a:t>
          </a:r>
        </a:p>
        <a:p>
          <a:r>
            <a:rPr lang="en-US" altLang="zh-C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</a:t>
          </a:r>
          <a:r>
            <a:rPr lang="en-US" altLang="zh-CN" b="0">
              <a:solidFill>
                <a:srgbClr val="FF0000"/>
              </a:solidFill>
              <a:effectLst/>
              <a:latin typeface="Consolas" panose="020B0609020204030204" pitchFamily="49" charset="0"/>
            </a:rPr>
            <a:t>fps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 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60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</a:t>
          </a:r>
          <a:r>
            <a:rPr lang="en-US" altLang="zh-CN" b="0">
              <a:solidFill>
                <a:srgbClr val="96CBFE"/>
              </a:solidFill>
              <a:effectLst/>
              <a:latin typeface="Consolas" panose="020B0609020204030204" pitchFamily="49" charset="0"/>
            </a:rPr>
            <a:t>display-timings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 {</a:t>
          </a:r>
        </a:p>
        <a:p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    </a:t>
          </a:r>
          <a:r>
            <a:rPr lang="en-US" altLang="zh-CN" b="0">
              <a:solidFill>
                <a:srgbClr val="FF0000"/>
              </a:solidFill>
              <a:effectLst/>
              <a:latin typeface="Consolas" panose="020B0609020204030204" pitchFamily="49" charset="0"/>
            </a:rPr>
            <a:t>clock-frequency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 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614000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    hactive 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720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    vactive 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1280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   </a:t>
          </a:r>
          <a:r>
            <a:rPr lang="en-US" altLang="zh-CN" b="0">
              <a:solidFill>
                <a:srgbClr val="FF0000"/>
              </a:solidFill>
              <a:effectLst/>
              <a:latin typeface="Consolas" panose="020B0609020204030204" pitchFamily="49" charset="0"/>
            </a:rPr>
            <a:t> hback-porch 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26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pPr algn="l"/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   </a:t>
          </a:r>
          <a:r>
            <a:rPr lang="en-US" altLang="zh-CN" b="0">
              <a:solidFill>
                <a:srgbClr val="FF0000"/>
              </a:solidFill>
              <a:effectLst/>
              <a:latin typeface="Consolas" panose="020B0609020204030204" pitchFamily="49" charset="0"/>
            </a:rPr>
            <a:t> hfront-porch 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52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pPr algn="l"/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  </a:t>
          </a:r>
          <a:r>
            <a:rPr lang="en-US" altLang="zh-CN" b="0">
              <a:solidFill>
                <a:srgbClr val="FF0000"/>
              </a:solidFill>
              <a:effectLst/>
              <a:latin typeface="Consolas" panose="020B0609020204030204" pitchFamily="49" charset="0"/>
            </a:rPr>
            <a:t>  vback-porch 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9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pPr algn="l"/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    </a:t>
          </a:r>
          <a:r>
            <a:rPr lang="en-US" altLang="zh-CN" b="0">
              <a:solidFill>
                <a:srgbClr val="FF0000"/>
              </a:solidFill>
              <a:effectLst/>
              <a:latin typeface="Consolas" panose="020B0609020204030204" pitchFamily="49" charset="0"/>
            </a:rPr>
            <a:t>vfront-porch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 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5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pPr algn="l"/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   </a:t>
          </a:r>
          <a:r>
            <a:rPr lang="en-US" altLang="zh-CN" b="0">
              <a:solidFill>
                <a:srgbClr val="FF0000"/>
              </a:solidFill>
              <a:effectLst/>
              <a:latin typeface="Consolas" panose="020B0609020204030204" pitchFamily="49" charset="0"/>
            </a:rPr>
            <a:t> hsync-len 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25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pPr algn="l"/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   </a:t>
          </a:r>
          <a:r>
            <a:rPr lang="en-US" altLang="zh-CN" b="0">
              <a:solidFill>
                <a:srgbClr val="FF0000"/>
              </a:solidFill>
              <a:effectLst/>
              <a:latin typeface="Consolas" panose="020B0609020204030204" pitchFamily="49" charset="0"/>
            </a:rPr>
            <a:t> vsync-len 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= 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&lt;</a:t>
          </a:r>
          <a:r>
            <a:rPr lang="en-US" altLang="zh-CN" b="0">
              <a:solidFill>
                <a:srgbClr val="E9C062"/>
              </a:solidFill>
              <a:effectLst/>
              <a:latin typeface="Consolas" panose="020B0609020204030204" pitchFamily="49" charset="0"/>
            </a:rPr>
            <a:t>2</a:t>
          </a:r>
          <a:r>
            <a:rPr lang="en-US" altLang="zh-CN" b="0">
              <a:solidFill>
                <a:srgbClr val="B5B3AA"/>
              </a:solidFill>
              <a:effectLst/>
              <a:latin typeface="Consolas" panose="020B0609020204030204" pitchFamily="49" charset="0"/>
            </a:rPr>
            <a:t>&gt;</a:t>
          </a:r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;</a:t>
          </a:r>
        </a:p>
        <a:p>
          <a:pPr algn="l"/>
          <a:r>
            <a:rPr lang="en-US" altLang="zh-CN" b="0">
              <a:solidFill>
                <a:srgbClr val="DDDDDD"/>
              </a:solidFill>
              <a:effectLst/>
              <a:latin typeface="Consolas" panose="020B0609020204030204" pitchFamily="49" charset="0"/>
            </a:rPr>
            <a:t>        };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zh-CN" altLang="en-US" sz="1100"/>
        </a:p>
      </xdr:txBody>
    </xdr:sp>
    <xdr:clientData/>
  </xdr:oneCellAnchor>
  <xdr:twoCellAnchor>
    <xdr:from>
      <xdr:col>12</xdr:col>
      <xdr:colOff>570139</xdr:colOff>
      <xdr:row>22</xdr:row>
      <xdr:rowOff>288472</xdr:rowOff>
    </xdr:from>
    <xdr:to>
      <xdr:col>15</xdr:col>
      <xdr:colOff>160564</xdr:colOff>
      <xdr:row>24</xdr:row>
      <xdr:rowOff>21772</xdr:rowOff>
    </xdr:to>
    <xdr:sp macro="" textlink="">
      <xdr:nvSpPr>
        <xdr:cNvPr id="17" name="矩形 16"/>
        <xdr:cNvSpPr/>
      </xdr:nvSpPr>
      <xdr:spPr>
        <a:xfrm>
          <a:off x="11401425" y="8942615"/>
          <a:ext cx="1631496" cy="236764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176893</xdr:colOff>
      <xdr:row>0</xdr:row>
      <xdr:rowOff>81644</xdr:rowOff>
    </xdr:from>
    <xdr:to>
      <xdr:col>22</xdr:col>
      <xdr:colOff>216536</xdr:colOff>
      <xdr:row>60</xdr:row>
      <xdr:rowOff>158894</xdr:rowOff>
    </xdr:to>
    <xdr:sp macro="" textlink="">
      <xdr:nvSpPr>
        <xdr:cNvPr id="23" name="下箭头 22"/>
        <xdr:cNvSpPr/>
      </xdr:nvSpPr>
      <xdr:spPr>
        <a:xfrm>
          <a:off x="17036143" y="81644"/>
          <a:ext cx="720000" cy="15984000"/>
        </a:xfrm>
        <a:prstGeom prst="down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190500</xdr:colOff>
      <xdr:row>2</xdr:row>
      <xdr:rowOff>27214</xdr:rowOff>
    </xdr:from>
    <xdr:to>
      <xdr:col>22</xdr:col>
      <xdr:colOff>230143</xdr:colOff>
      <xdr:row>5</xdr:row>
      <xdr:rowOff>27214</xdr:rowOff>
    </xdr:to>
    <xdr:sp macro="" textlink="">
      <xdr:nvSpPr>
        <xdr:cNvPr id="24" name="下箭头 23"/>
        <xdr:cNvSpPr/>
      </xdr:nvSpPr>
      <xdr:spPr>
        <a:xfrm>
          <a:off x="17049750" y="1850571"/>
          <a:ext cx="720000" cy="1319893"/>
        </a:xfrm>
        <a:prstGeom prst="downArrow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193222</xdr:colOff>
      <xdr:row>13</xdr:row>
      <xdr:rowOff>193222</xdr:rowOff>
    </xdr:from>
    <xdr:to>
      <xdr:col>22</xdr:col>
      <xdr:colOff>232865</xdr:colOff>
      <xdr:row>18</xdr:row>
      <xdr:rowOff>84365</xdr:rowOff>
    </xdr:to>
    <xdr:sp macro="" textlink="">
      <xdr:nvSpPr>
        <xdr:cNvPr id="25" name="下箭头 24"/>
        <xdr:cNvSpPr/>
      </xdr:nvSpPr>
      <xdr:spPr>
        <a:xfrm>
          <a:off x="17052472" y="6302829"/>
          <a:ext cx="720000" cy="1319893"/>
        </a:xfrm>
        <a:prstGeom prst="downArrow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182336</xdr:colOff>
      <xdr:row>30</xdr:row>
      <xdr:rowOff>73479</xdr:rowOff>
    </xdr:from>
    <xdr:to>
      <xdr:col>22</xdr:col>
      <xdr:colOff>221979</xdr:colOff>
      <xdr:row>37</xdr:row>
      <xdr:rowOff>59872</xdr:rowOff>
    </xdr:to>
    <xdr:sp macro="" textlink="">
      <xdr:nvSpPr>
        <xdr:cNvPr id="26" name="下箭头 25"/>
        <xdr:cNvSpPr/>
      </xdr:nvSpPr>
      <xdr:spPr>
        <a:xfrm>
          <a:off x="17041586" y="10469336"/>
          <a:ext cx="720000" cy="1319893"/>
        </a:xfrm>
        <a:prstGeom prst="downArrow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8</xdr:col>
      <xdr:colOff>435428</xdr:colOff>
      <xdr:row>25</xdr:row>
      <xdr:rowOff>108857</xdr:rowOff>
    </xdr:from>
    <xdr:ext cx="601447" cy="264560"/>
    <xdr:sp macro="" textlink="">
      <xdr:nvSpPr>
        <xdr:cNvPr id="18" name="文本框 17"/>
        <xdr:cNvSpPr txBox="1"/>
      </xdr:nvSpPr>
      <xdr:spPr>
        <a:xfrm>
          <a:off x="7116535" y="9742714"/>
          <a:ext cx="60144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100" b="1">
              <a:solidFill>
                <a:srgbClr val="FF0000"/>
              </a:solidFill>
            </a:rPr>
            <a:t>update</a:t>
          </a:r>
          <a:endParaRPr lang="zh-CN" altLang="en-US" sz="1100" b="1">
            <a:solidFill>
              <a:srgbClr val="FF0000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79998168889431442"/>
  </sheetPr>
  <dimension ref="A1:AE28"/>
  <sheetViews>
    <sheetView workbookViewId="0">
      <selection activeCell="B7" sqref="B7"/>
    </sheetView>
  </sheetViews>
  <sheetFormatPr defaultRowHeight="13.5" x14ac:dyDescent="0.15"/>
  <cols>
    <col min="1" max="1" width="18.625" customWidth="1"/>
    <col min="2" max="3" width="16.625" customWidth="1"/>
    <col min="4" max="4" width="17.625" customWidth="1"/>
    <col min="5" max="5" width="16.625" customWidth="1"/>
    <col min="6" max="6" width="17.625" customWidth="1"/>
    <col min="7" max="9" width="16.625" customWidth="1"/>
    <col min="10" max="10" width="13.875" customWidth="1"/>
    <col min="11" max="12" width="9" customWidth="1"/>
    <col min="13" max="13" width="12.875" customWidth="1"/>
    <col min="14" max="14" width="11.625" customWidth="1"/>
    <col min="15" max="15" width="11.25" customWidth="1"/>
    <col min="16" max="16" width="10.875" customWidth="1"/>
    <col min="17" max="19" width="10.5" customWidth="1"/>
    <col min="20" max="20" width="13.375" customWidth="1"/>
  </cols>
  <sheetData>
    <row r="1" spans="1:31" ht="24" customHeight="1" x14ac:dyDescent="0.4">
      <c r="A1" s="108" t="s">
        <v>1</v>
      </c>
      <c r="B1" s="109" t="s">
        <v>5</v>
      </c>
      <c r="C1" s="109" t="s">
        <v>0</v>
      </c>
      <c r="D1" s="109" t="s">
        <v>2</v>
      </c>
      <c r="E1" s="100" t="s">
        <v>6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31" ht="24" customHeight="1" x14ac:dyDescent="0.25">
      <c r="A2" s="105">
        <v>1080</v>
      </c>
      <c r="B2" s="107">
        <v>0</v>
      </c>
      <c r="C2" s="107">
        <v>0</v>
      </c>
      <c r="D2" s="107">
        <v>0</v>
      </c>
      <c r="E2" s="101">
        <f>SUM(A2:D2)</f>
        <v>1080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1" ht="10.5" customHeight="1" x14ac:dyDescent="0.25">
      <c r="A3" s="176"/>
      <c r="B3" s="176"/>
      <c r="C3" s="176"/>
      <c r="D3" s="176"/>
      <c r="E3" s="176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1" ht="24" customHeight="1" x14ac:dyDescent="0.4">
      <c r="A4" s="102" t="s">
        <v>9</v>
      </c>
      <c r="B4" s="104">
        <v>2460</v>
      </c>
      <c r="C4" s="103"/>
      <c r="D4" s="4"/>
      <c r="E4" s="4"/>
      <c r="F4" s="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1" ht="24" customHeight="1" x14ac:dyDescent="0.4">
      <c r="A5" s="110" t="s">
        <v>10</v>
      </c>
      <c r="B5" s="106">
        <v>0</v>
      </c>
      <c r="C5" s="103"/>
      <c r="D5" s="102" t="s">
        <v>91</v>
      </c>
      <c r="E5" s="130">
        <v>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31" ht="24" customHeight="1" x14ac:dyDescent="0.4">
      <c r="A6" s="110" t="s">
        <v>3</v>
      </c>
      <c r="B6" s="106">
        <v>0</v>
      </c>
      <c r="C6" s="103"/>
      <c r="D6" s="110" t="s">
        <v>17</v>
      </c>
      <c r="E6" s="106">
        <v>60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31" ht="24" customHeight="1" x14ac:dyDescent="0.4">
      <c r="A7" s="110" t="s">
        <v>11</v>
      </c>
      <c r="B7" s="106">
        <v>0</v>
      </c>
      <c r="C7" s="103"/>
      <c r="D7" s="110" t="s">
        <v>12</v>
      </c>
      <c r="E7" s="106">
        <v>4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31" ht="24" customHeight="1" x14ac:dyDescent="0.4">
      <c r="A8" s="100" t="s">
        <v>13</v>
      </c>
      <c r="B8" s="101">
        <f>SUM(B4:B7)</f>
        <v>2460</v>
      </c>
      <c r="C8" s="103"/>
      <c r="D8" s="110" t="s">
        <v>4</v>
      </c>
      <c r="E8" s="111" t="s">
        <v>247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31" ht="10.5" customHeight="1" x14ac:dyDescent="0.25">
      <c r="A9" s="176"/>
      <c r="B9" s="176"/>
      <c r="C9" s="176"/>
      <c r="D9" s="176"/>
      <c r="E9" s="176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31" ht="22.5" x14ac:dyDescent="0.4">
      <c r="A10" s="98" t="s">
        <v>18</v>
      </c>
      <c r="B10" s="99"/>
      <c r="C10" s="99"/>
      <c r="D10" s="99"/>
      <c r="E10" s="99"/>
      <c r="F10" s="99"/>
      <c r="G10" s="99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31" ht="22.5" x14ac:dyDescent="0.4">
      <c r="A11" s="93" t="s">
        <v>19</v>
      </c>
      <c r="B11" s="154">
        <f>IF(EXACT(data!$F$3,"auto"),B23,F23)</f>
        <v>58</v>
      </c>
      <c r="C11" s="153">
        <f>IF(EXACT(data!$F$3,"auto"),C23,F23)</f>
        <v>57.814</v>
      </c>
      <c r="D11" s="93" t="s">
        <v>85</v>
      </c>
      <c r="E11" s="154">
        <f>B2</f>
        <v>0</v>
      </c>
      <c r="F11" s="93" t="s">
        <v>92</v>
      </c>
      <c r="G11" s="154">
        <f>B5</f>
        <v>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31" ht="22.5" x14ac:dyDescent="0.4">
      <c r="A12" s="94" t="s">
        <v>15</v>
      </c>
      <c r="B12" s="155">
        <f>IF(EXACT(data!$F$3,"auto"),B24,F24)</f>
        <v>1105</v>
      </c>
      <c r="C12" s="156" t="s">
        <v>16</v>
      </c>
      <c r="D12" s="93" t="s">
        <v>86</v>
      </c>
      <c r="E12" s="154">
        <f>C2</f>
        <v>0</v>
      </c>
      <c r="F12" s="93" t="s">
        <v>93</v>
      </c>
      <c r="G12" s="154">
        <f>B6</f>
        <v>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31" ht="24.75" x14ac:dyDescent="0.4">
      <c r="A13" s="94" t="s">
        <v>45</v>
      </c>
      <c r="B13" s="154">
        <f>IF(EXACT(data!$F$3,"auto"),B25,F25)</f>
        <v>153600000</v>
      </c>
      <c r="C13" s="5"/>
      <c r="D13" s="93" t="s">
        <v>87</v>
      </c>
      <c r="E13" s="154">
        <f>D2</f>
        <v>0</v>
      </c>
      <c r="F13" s="93" t="s">
        <v>94</v>
      </c>
      <c r="G13" s="154">
        <f>B7</f>
        <v>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31" ht="22.5" x14ac:dyDescent="0.25">
      <c r="A14" s="5"/>
      <c r="B14" s="5"/>
      <c r="C14" s="5"/>
      <c r="D14" s="1"/>
      <c r="E14" s="1"/>
      <c r="F14" s="1"/>
      <c r="G14" s="1"/>
      <c r="H14" s="3"/>
      <c r="I14" s="3"/>
      <c r="J14" s="3"/>
    </row>
    <row r="15" spans="1:31" ht="39" customHeight="1" x14ac:dyDescent="0.7">
      <c r="A15" s="97" t="str">
        <f>data!C17</f>
        <v>Warning</v>
      </c>
      <c r="B15" s="95">
        <f>data!D17</f>
        <v>0</v>
      </c>
      <c r="C15" s="95"/>
      <c r="D15" s="95"/>
      <c r="E15" s="95"/>
      <c r="F15" s="95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43"/>
      <c r="U15" s="43"/>
      <c r="V15" s="43"/>
      <c r="W15" s="43"/>
      <c r="X15" s="43"/>
      <c r="Y15" s="43"/>
      <c r="Z15" s="43"/>
      <c r="AA15" s="43"/>
      <c r="AB15" s="43"/>
      <c r="AC15" s="95"/>
      <c r="AD15" s="95"/>
      <c r="AE15" s="95"/>
    </row>
    <row r="16" spans="1:31" ht="22.5" x14ac:dyDescent="0.25">
      <c r="A16" s="2"/>
      <c r="B16" s="22"/>
      <c r="C16" s="23"/>
      <c r="D16" s="23"/>
      <c r="E16" s="23"/>
      <c r="F16" s="23"/>
      <c r="G16" s="1"/>
      <c r="H16" s="1"/>
      <c r="I16" s="1"/>
    </row>
    <row r="17" spans="1:20" ht="25.5" customHeight="1" x14ac:dyDescent="0.25">
      <c r="A17" s="47"/>
      <c r="B17" s="5"/>
      <c r="C17" s="5"/>
      <c r="D17" s="5"/>
      <c r="E17" s="5"/>
      <c r="F17" s="5"/>
      <c r="G17" s="5"/>
      <c r="H17" s="5"/>
      <c r="I17" s="5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</row>
    <row r="18" spans="1:20" ht="22.5" x14ac:dyDescent="0.25">
      <c r="A18" s="5"/>
      <c r="B18" s="5"/>
      <c r="C18" s="5"/>
      <c r="D18" s="5"/>
      <c r="E18" s="5"/>
      <c r="F18" s="5"/>
      <c r="G18" s="5"/>
      <c r="H18" s="5"/>
      <c r="I18" s="5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</row>
    <row r="19" spans="1:20" ht="22.5" hidden="1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</row>
    <row r="20" spans="1:20" ht="23.25" hidden="1" customHeight="1" x14ac:dyDescent="0.25">
      <c r="A20" s="81"/>
      <c r="B20" s="82"/>
      <c r="C20" s="82"/>
      <c r="D20" s="82"/>
      <c r="E20" s="82"/>
      <c r="F20" s="82"/>
      <c r="G20" s="89"/>
      <c r="H20" s="5"/>
      <c r="I20" s="5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</row>
    <row r="21" spans="1:20" ht="23.25" hidden="1" customHeight="1" x14ac:dyDescent="0.4">
      <c r="A21" s="177" t="s">
        <v>165</v>
      </c>
      <c r="B21" s="178"/>
      <c r="C21" s="179">
        <f>data!D3</f>
        <v>0</v>
      </c>
      <c r="D21" s="180"/>
      <c r="E21" s="92" t="s">
        <v>166</v>
      </c>
      <c r="F21" s="187" t="str">
        <f>data!F3</f>
        <v>auto</v>
      </c>
      <c r="G21" s="188"/>
      <c r="H21" s="5"/>
      <c r="I21" s="5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</row>
    <row r="22" spans="1:20" ht="22.5" hidden="1" customHeight="1" x14ac:dyDescent="0.25">
      <c r="A22" s="184" t="s">
        <v>156</v>
      </c>
      <c r="B22" s="185"/>
      <c r="C22" s="186"/>
      <c r="D22" s="5"/>
      <c r="E22" s="181" t="s">
        <v>158</v>
      </c>
      <c r="F22" s="182"/>
      <c r="G22" s="183"/>
      <c r="H22" s="5"/>
      <c r="I22" s="5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</row>
    <row r="23" spans="1:20" ht="24.75" hidden="1" x14ac:dyDescent="0.4">
      <c r="A23" s="83" t="s">
        <v>19</v>
      </c>
      <c r="B23" s="7">
        <f>data!F10</f>
        <v>58</v>
      </c>
      <c r="C23" s="7">
        <f>data!G10</f>
        <v>57.814</v>
      </c>
      <c r="D23" s="1"/>
      <c r="E23" s="83" t="s">
        <v>19</v>
      </c>
      <c r="F23" s="7">
        <f>data!D10</f>
        <v>58</v>
      </c>
      <c r="G23" s="84"/>
    </row>
    <row r="24" spans="1:20" ht="22.5" hidden="1" x14ac:dyDescent="0.25">
      <c r="A24" s="85" t="s">
        <v>15</v>
      </c>
      <c r="B24" s="19">
        <f>data!F13</f>
        <v>1105</v>
      </c>
      <c r="C24" s="86" t="s">
        <v>16</v>
      </c>
      <c r="E24" s="85" t="s">
        <v>15</v>
      </c>
      <c r="F24" s="19" t="e">
        <f>data!F12</f>
        <v>#DIV/0!</v>
      </c>
      <c r="G24" s="86" t="s">
        <v>16</v>
      </c>
    </row>
    <row r="25" spans="1:20" ht="22.5" hidden="1" x14ac:dyDescent="0.25">
      <c r="A25" s="85" t="s">
        <v>45</v>
      </c>
      <c r="B25" s="7">
        <f>data!I20</f>
        <v>153600000</v>
      </c>
      <c r="C25" s="90"/>
      <c r="E25" s="85" t="s">
        <v>45</v>
      </c>
      <c r="F25" s="7" t="e">
        <f>data!H8</f>
        <v>#DIV/0!</v>
      </c>
      <c r="G25" s="90"/>
    </row>
    <row r="26" spans="1:20" ht="27.75" hidden="1" customHeight="1" x14ac:dyDescent="0.25">
      <c r="A26" s="87" t="s">
        <v>159</v>
      </c>
      <c r="B26" s="88">
        <f>data!I19</f>
        <v>153600000</v>
      </c>
      <c r="C26" s="91"/>
      <c r="E26" s="87" t="s">
        <v>164</v>
      </c>
      <c r="F26" s="88">
        <f>E5</f>
        <v>0</v>
      </c>
      <c r="G26" s="91"/>
    </row>
    <row r="27" spans="1:20" ht="27" hidden="1" customHeight="1" x14ac:dyDescent="0.25">
      <c r="A27" s="85" t="s">
        <v>232</v>
      </c>
      <c r="B27" s="138" t="str">
        <f>data!G3</f>
        <v>UMS512_DPI</v>
      </c>
    </row>
    <row r="28" spans="1:20" hidden="1" x14ac:dyDescent="0.15"/>
  </sheetData>
  <sheetProtection algorithmName="SHA-512" hashValue="4aJgtAz50K5k67HSQ/5MKfs29TE8oBm0lhr4kHhg2F+YbsTefeOrPE0v3WqdNVog5aq9peb0gfMRW912Rz946Q==" saltValue="3d3aMtUE0H88L+1jqcg6dg==" spinCount="100000" sheet="1" selectLockedCells="1"/>
  <dataConsolidate/>
  <mergeCells count="7">
    <mergeCell ref="A3:E3"/>
    <mergeCell ref="A9:E9"/>
    <mergeCell ref="A21:B21"/>
    <mergeCell ref="C21:D21"/>
    <mergeCell ref="E22:G22"/>
    <mergeCell ref="A22:C22"/>
    <mergeCell ref="F21:G21"/>
  </mergeCells>
  <phoneticPr fontId="1" type="noConversion"/>
  <dataValidations count="3">
    <dataValidation type="whole" allowBlank="1" showInputMessage="1" showErrorMessage="1" error="超过了此product最大支持的lan_number" sqref="E7">
      <formula1>1</formula1>
      <formula2>H9</formula2>
    </dataValidation>
    <dataValidation type="list" allowBlank="1" showInputMessage="1" showErrorMessage="1" sqref="E8">
      <formula1>INDIRECT("product_main")</formula1>
    </dataValidation>
    <dataValidation allowBlank="1" showDropDown="1" showInputMessage="1" showErrorMessage="1" sqref="F5"/>
  </dataValidations>
  <pageMargins left="0.7" right="0.7" top="0.75" bottom="0.75" header="0.3" footer="0.3"/>
  <pageSetup paperSize="9" orientation="portrait" horizontalDpi="300" verticalDpi="3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AEF491A-A09C-4B4B-98AC-7B79285EA1CE}">
            <xm:f>IF(EXACT(data!$E$3,"N"),1,IF(EXACT(data!$F$3,"manual"),0,1))</xm:f>
            <x14:dxf>
              <font>
                <u val="none"/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 style="thin">
                  <color theme="0" tint="-0.24994659260841701"/>
                </left>
                <right style="thin">
                  <color theme="0" tint="-0.24994659260841701"/>
                </right>
                <top style="thin">
                  <color theme="0" tint="-0.24994659260841701"/>
                </top>
                <bottom style="thin">
                  <color theme="0" tint="-0.24994659260841701"/>
                </bottom>
              </border>
            </x14:dxf>
          </x14:cfRule>
          <xm:sqref>D5:E5</xm:sqref>
        </x14:conditionalFormatting>
        <x14:conditionalFormatting xmlns:xm="http://schemas.microsoft.com/office/excel/2006/main">
          <x14:cfRule type="expression" priority="3" id="{4076CAD5-734D-45B6-A4A8-90F2DBE481F7}">
            <xm:f>IF(EXACT(data!$E$3,"Y"),0,1)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theme="0" tint="-0.24994659260841701"/>
                </left>
                <right style="thin">
                  <color theme="0" tint="-0.24994659260841701"/>
                </right>
                <top style="thin">
                  <color theme="0" tint="-0.24994659260841701"/>
                </top>
                <bottom style="thin">
                  <color theme="0" tint="-0.24994659260841701"/>
                </bottom>
              </border>
            </x14:dxf>
          </x14:cfRule>
          <xm:sqref>A27 A20:G26</xm:sqref>
        </x14:conditionalFormatting>
        <x14:conditionalFormatting xmlns:xm="http://schemas.microsoft.com/office/excel/2006/main">
          <x14:cfRule type="expression" priority="1" id="{F603630F-AD9D-4630-8E26-ED0E9F097C87}">
            <xm:f>IF(EXACT(data!$F$3,"auto"),1,0)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E5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请选择pixels_clksrc">
          <x14:formula1>
            <xm:f>IF(EXACT(data!$F$3,"manual"),OFFSET(INDIRECT($B$27),0,0),B26)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 tint="0.79998168889431442"/>
  </sheetPr>
  <dimension ref="A1:AC21"/>
  <sheetViews>
    <sheetView workbookViewId="0">
      <selection activeCell="B7" sqref="B7"/>
    </sheetView>
  </sheetViews>
  <sheetFormatPr defaultRowHeight="13.5" x14ac:dyDescent="0.15"/>
  <cols>
    <col min="1" max="1" width="18.625" customWidth="1"/>
    <col min="2" max="3" width="16.625" customWidth="1"/>
    <col min="4" max="4" width="17.625" customWidth="1"/>
    <col min="5" max="5" width="16.625" customWidth="1"/>
    <col min="6" max="6" width="18.375" customWidth="1"/>
    <col min="7" max="7" width="16.625" customWidth="1"/>
    <col min="8" max="8" width="18" customWidth="1"/>
    <col min="13" max="13" width="10" customWidth="1"/>
    <col min="14" max="14" width="10.875" customWidth="1"/>
    <col min="15" max="15" width="9.875" customWidth="1"/>
    <col min="16" max="16" width="10.625" customWidth="1"/>
    <col min="17" max="17" width="9.75" customWidth="1"/>
    <col min="18" max="18" width="10.125" customWidth="1"/>
    <col min="19" max="19" width="10.875" customWidth="1"/>
    <col min="20" max="20" width="13.75" customWidth="1"/>
  </cols>
  <sheetData>
    <row r="1" spans="1:29" ht="24" customHeight="1" x14ac:dyDescent="0.4">
      <c r="A1" s="9" t="s">
        <v>1</v>
      </c>
      <c r="B1" s="9" t="s">
        <v>5</v>
      </c>
      <c r="C1" s="9" t="s">
        <v>20</v>
      </c>
      <c r="D1" s="9" t="s">
        <v>21</v>
      </c>
      <c r="E1" s="17" t="s">
        <v>22</v>
      </c>
      <c r="F1" s="3"/>
    </row>
    <row r="2" spans="1:29" ht="24" customHeight="1" x14ac:dyDescent="0.25">
      <c r="A2" s="10">
        <v>1580</v>
      </c>
      <c r="B2" s="10">
        <v>10</v>
      </c>
      <c r="C2" s="10">
        <v>20</v>
      </c>
      <c r="D2" s="10">
        <v>40</v>
      </c>
      <c r="E2" s="18">
        <f>SUM(A2:D2)</f>
        <v>1650</v>
      </c>
      <c r="F2" s="3"/>
    </row>
    <row r="3" spans="1:29" ht="11.25" customHeight="1" x14ac:dyDescent="0.25">
      <c r="A3" s="189"/>
      <c r="B3" s="190"/>
      <c r="C3" s="190"/>
      <c r="D3" s="190"/>
      <c r="E3" s="190"/>
      <c r="F3" s="3"/>
    </row>
    <row r="4" spans="1:29" ht="24" customHeight="1" x14ac:dyDescent="0.4">
      <c r="A4" s="9" t="s">
        <v>9</v>
      </c>
      <c r="B4" s="10">
        <v>720</v>
      </c>
      <c r="C4" s="3"/>
      <c r="D4" s="3"/>
      <c r="E4" s="3"/>
      <c r="F4" s="3"/>
    </row>
    <row r="5" spans="1:29" ht="24" customHeight="1" x14ac:dyDescent="0.4">
      <c r="A5" s="9" t="s">
        <v>10</v>
      </c>
      <c r="B5" s="10">
        <v>5</v>
      </c>
      <c r="C5" s="3"/>
      <c r="D5" s="11" t="s">
        <v>84</v>
      </c>
      <c r="E5" s="45">
        <v>153600000</v>
      </c>
      <c r="F5" s="44">
        <f>data!D35</f>
        <v>153600000</v>
      </c>
    </row>
    <row r="6" spans="1:29" ht="24" customHeight="1" x14ac:dyDescent="0.4">
      <c r="A6" s="9" t="s">
        <v>3</v>
      </c>
      <c r="B6" s="10">
        <v>25</v>
      </c>
      <c r="C6" s="3"/>
      <c r="D6" s="11" t="s">
        <v>17</v>
      </c>
      <c r="E6" s="10">
        <v>60</v>
      </c>
      <c r="F6" s="3"/>
    </row>
    <row r="7" spans="1:29" ht="24" customHeight="1" x14ac:dyDescent="0.4">
      <c r="A7" s="9" t="s">
        <v>11</v>
      </c>
      <c r="B7" s="10">
        <v>5</v>
      </c>
      <c r="C7" s="3"/>
      <c r="D7" s="11" t="s">
        <v>12</v>
      </c>
      <c r="E7" s="10">
        <v>4</v>
      </c>
      <c r="F7" s="3"/>
    </row>
    <row r="8" spans="1:29" ht="22.5" x14ac:dyDescent="0.4">
      <c r="A8" s="17" t="s">
        <v>13</v>
      </c>
      <c r="B8" s="18">
        <f>SUM(B4:B7)</f>
        <v>755</v>
      </c>
      <c r="C8" s="3"/>
      <c r="D8" s="11" t="s">
        <v>4</v>
      </c>
      <c r="E8" s="12" t="s">
        <v>241</v>
      </c>
      <c r="F8" s="3"/>
    </row>
    <row r="9" spans="1:29" ht="12.75" customHeight="1" x14ac:dyDescent="0.25">
      <c r="A9" s="191"/>
      <c r="B9" s="191"/>
      <c r="C9" s="191"/>
      <c r="D9" s="191"/>
      <c r="E9" s="191"/>
      <c r="F9" s="3"/>
    </row>
    <row r="10" spans="1:29" ht="22.5" x14ac:dyDescent="0.4">
      <c r="A10" s="116" t="s">
        <v>23</v>
      </c>
      <c r="B10" s="6"/>
      <c r="C10" s="6"/>
      <c r="D10" s="6"/>
      <c r="E10" s="6"/>
      <c r="F10" s="6"/>
      <c r="G10" s="6"/>
    </row>
    <row r="11" spans="1:29" ht="22.5" x14ac:dyDescent="0.4">
      <c r="A11" s="93" t="s">
        <v>19</v>
      </c>
      <c r="B11" s="7">
        <f>data!D42</f>
        <v>62</v>
      </c>
      <c r="D11" s="93" t="s">
        <v>85</v>
      </c>
      <c r="E11" s="7">
        <f>B2</f>
        <v>10</v>
      </c>
      <c r="F11" s="93" t="s">
        <v>88</v>
      </c>
      <c r="G11" s="7">
        <f>B5</f>
        <v>5</v>
      </c>
    </row>
    <row r="12" spans="1:29" ht="22.5" x14ac:dyDescent="0.4">
      <c r="A12" s="94" t="s">
        <v>14</v>
      </c>
      <c r="B12" s="19">
        <f>data!D44</f>
        <v>552</v>
      </c>
      <c r="C12" s="13" t="s">
        <v>151</v>
      </c>
      <c r="D12" s="93" t="s">
        <v>86</v>
      </c>
      <c r="E12" s="7">
        <f>C2</f>
        <v>20</v>
      </c>
      <c r="F12" s="93" t="s">
        <v>89</v>
      </c>
      <c r="G12" s="7">
        <f>B6</f>
        <v>25</v>
      </c>
    </row>
    <row r="13" spans="1:29" ht="24.75" x14ac:dyDescent="0.4">
      <c r="A13" s="94" t="str">
        <f>IF(data!I40=1,"pixel_clk","")</f>
        <v/>
      </c>
      <c r="B13" s="7">
        <f>data!H40</f>
        <v>76800000</v>
      </c>
      <c r="C13" s="5"/>
      <c r="D13" s="93" t="s">
        <v>87</v>
      </c>
      <c r="E13" s="7">
        <f>D2</f>
        <v>40</v>
      </c>
      <c r="F13" s="93" t="s">
        <v>90</v>
      </c>
      <c r="G13" s="7">
        <f>B7</f>
        <v>5</v>
      </c>
    </row>
    <row r="14" spans="1:29" ht="22.5" x14ac:dyDescent="0.25">
      <c r="A14" s="5"/>
      <c r="B14" s="5"/>
      <c r="C14" s="5"/>
      <c r="D14" s="1"/>
      <c r="E14" s="1"/>
      <c r="F14" s="1"/>
      <c r="G14" s="1"/>
      <c r="H14" s="1"/>
      <c r="I14" s="1"/>
    </row>
    <row r="15" spans="1:29" ht="40.5" x14ac:dyDescent="0.7">
      <c r="A15" s="21" t="str">
        <f>data!C49</f>
        <v>Warning</v>
      </c>
      <c r="B15" s="24" t="str">
        <f>data!D49</f>
        <v>当前的配置不能达到fps(期望帧率)，如需达到fps(期望帧率)请调整proch值/pixels_clksrc，否则请忽略此警告并使用fps(实际帧率)值</v>
      </c>
      <c r="C15" s="24"/>
      <c r="D15" s="24"/>
      <c r="E15" s="24"/>
      <c r="F15" s="24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6"/>
      <c r="U15" s="26"/>
      <c r="V15" s="26"/>
      <c r="W15" s="26"/>
      <c r="X15" s="26"/>
      <c r="Y15" s="26"/>
      <c r="Z15" s="26"/>
      <c r="AA15" s="26"/>
      <c r="AB15" s="26"/>
      <c r="AC15" s="26"/>
    </row>
    <row r="16" spans="1:29" ht="22.5" x14ac:dyDescent="0.25">
      <c r="A16" s="1"/>
      <c r="B16" s="22"/>
      <c r="C16" s="23"/>
      <c r="D16" s="23"/>
      <c r="E16" s="23"/>
      <c r="F16" s="23"/>
      <c r="G16" s="1"/>
      <c r="H16" s="1"/>
      <c r="I16" s="1"/>
    </row>
    <row r="17" spans="1:20" ht="22.5" x14ac:dyDescent="0.25">
      <c r="A17" s="5" t="str">
        <f>IF(EXACT(E8,"SC9853I"),"注意事项：phy_feq的计算出来的结果请依据代码文件intel_ip733mdsitop.c中dphy_pll pll_array[]所定义phy_clk已有的值中选择一个最接近的值","")</f>
        <v>注意事项：phy_feq的计算出来的结果请依据代码文件intel_ip733mdsitop.c中dphy_pll pll_array[]所定义phy_clk已有的值中选择一个最接近的值</v>
      </c>
      <c r="B17" s="5"/>
      <c r="C17" s="5"/>
      <c r="D17" s="5"/>
      <c r="E17" s="5"/>
      <c r="F17" s="5"/>
      <c r="G17" s="5"/>
      <c r="H17" s="5"/>
      <c r="I17" s="5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</row>
    <row r="18" spans="1:20" ht="22.5" x14ac:dyDescent="0.25">
      <c r="A18" s="5" t="str">
        <f>IF(EXACT(E8,"SC9853I"),"路径：\kernel\drivers\video\adf\sprd\drv\dphy\pll\intel_ip733mdsitop.c","")</f>
        <v>路径：\kernel\drivers\video\adf\sprd\drv\dphy\pll\intel_ip733mdsitop.c</v>
      </c>
      <c r="B18" s="5"/>
      <c r="C18" s="5"/>
      <c r="D18" s="5"/>
      <c r="E18" s="5"/>
      <c r="F18" s="5"/>
      <c r="G18" s="5"/>
      <c r="H18" s="5"/>
      <c r="I18" s="5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</row>
    <row r="19" spans="1:20" ht="22.5" x14ac:dyDescent="0.25">
      <c r="A19" s="5"/>
      <c r="B19" s="5"/>
      <c r="C19" s="5"/>
      <c r="D19" s="5"/>
      <c r="E19" s="5"/>
      <c r="F19" s="5"/>
      <c r="G19" s="5"/>
      <c r="H19" s="5"/>
      <c r="I19" s="5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</row>
    <row r="20" spans="1:20" ht="22.5" x14ac:dyDescent="0.25">
      <c r="A20" s="46"/>
      <c r="B20" s="5"/>
      <c r="C20" s="5"/>
      <c r="D20" s="5"/>
      <c r="E20" s="5"/>
      <c r="F20" s="5"/>
      <c r="G20" s="5"/>
      <c r="H20" s="5"/>
      <c r="I20" s="5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</row>
    <row r="21" spans="1:20" ht="22.5" x14ac:dyDescent="0.25">
      <c r="A21" s="1"/>
      <c r="B21" s="1"/>
      <c r="C21" s="2"/>
      <c r="D21" s="1"/>
      <c r="E21" s="1"/>
      <c r="F21" s="1"/>
      <c r="G21" s="1"/>
      <c r="H21" s="1"/>
      <c r="I21" s="1"/>
    </row>
  </sheetData>
  <sheetProtection algorithmName="SHA-512" hashValue="cW9MWXKs22MygSJqruiyPjluNADqUMFzK8zSWYLvfZImOC+xb5ZTBbtDdfxnGN0LeKcFRWZcMsDRNQukhrvUwQ==" saltValue="kcYqZE+u8oSxISwu3pNDgg==" spinCount="100000" sheet="1" selectLockedCells="1"/>
  <mergeCells count="2">
    <mergeCell ref="A3:E3"/>
    <mergeCell ref="A9:E9"/>
  </mergeCells>
  <phoneticPr fontId="1" type="noConversion"/>
  <conditionalFormatting sqref="E5">
    <cfRule type="expression" dxfId="2" priority="4" stopIfTrue="1">
      <formula>IF(EXACT(D5,"clksrc_def"),1,0)</formula>
    </cfRule>
  </conditionalFormatting>
  <dataValidations count="4">
    <dataValidation type="list" allowBlank="1" showInputMessage="1" showErrorMessage="1" promptTitle="请选择clr src" sqref="E5">
      <formula1>INDIRECT($E8)</formula1>
    </dataValidation>
    <dataValidation allowBlank="1" showDropDown="1" showInputMessage="1" showErrorMessage="1" sqref="F5"/>
    <dataValidation type="list" allowBlank="1" showInputMessage="1" showErrorMessage="1" sqref="E8">
      <formula1>INDIRECT("product_6_7_8")</formula1>
    </dataValidation>
    <dataValidation type="whole" allowBlank="1" showInputMessage="1" showErrorMessage="1" error="超过了此product最大支持的lan_number" sqref="E7">
      <formula1>1</formula1>
      <formula2>H9</formula2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08EE696-CDF7-4E0C-B4AD-537D4E9EB039}">
            <xm:f>IF(data!I40=1,0,1)</xm:f>
            <x14:dxf>
              <fill>
                <patternFill patternType="solid">
                  <fgColor theme="0"/>
                  <bgColor theme="0"/>
                </patternFill>
              </fill>
            </x14:dxf>
          </x14:cfRule>
          <xm:sqref>A13</xm:sqref>
        </x14:conditionalFormatting>
        <x14:conditionalFormatting xmlns:xm="http://schemas.microsoft.com/office/excel/2006/main">
          <x14:cfRule type="expression" priority="2" id="{4166C016-3E57-4D83-8307-714DFC1293F5}">
            <xm:f>IF(data!I40=1,0,1)</xm:f>
            <x14:dxf>
              <font>
                <color theme="0"/>
              </font>
              <fill>
                <patternFill>
                  <fgColor theme="0"/>
                  <bgColor theme="0"/>
                </patternFill>
              </fill>
            </x14:dxf>
          </x14:cfRule>
          <xm:sqref>B13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U71"/>
  <sheetViews>
    <sheetView tabSelected="1" topLeftCell="A52" zoomScale="70" zoomScaleNormal="70" workbookViewId="0">
      <selection activeCell="W73" sqref="W73"/>
    </sheetView>
  </sheetViews>
  <sheetFormatPr defaultRowHeight="13.5" x14ac:dyDescent="0.15"/>
  <cols>
    <col min="1" max="1" width="13.75" customWidth="1"/>
    <col min="6" max="6" width="15.75" customWidth="1"/>
    <col min="7" max="7" width="13.5" customWidth="1"/>
    <col min="9" max="9" width="16.5" customWidth="1"/>
    <col min="10" max="10" width="15.75" customWidth="1"/>
    <col min="11" max="11" width="10.625" customWidth="1"/>
    <col min="12" max="12" width="11.625" customWidth="1"/>
    <col min="20" max="20" width="3.875" customWidth="1"/>
    <col min="21" max="21" width="12.625" customWidth="1"/>
  </cols>
  <sheetData>
    <row r="1" spans="1:21" ht="67.5" customHeight="1" x14ac:dyDescent="0.1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U1" s="57"/>
    </row>
    <row r="2" spans="1:21" ht="75.75" customHeight="1" x14ac:dyDescent="0.1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U2" s="57"/>
    </row>
    <row r="3" spans="1:21" ht="49.5" customHeight="1" x14ac:dyDescent="0.1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U3" s="57"/>
    </row>
    <row r="4" spans="1:21" ht="28.5" customHeight="1" x14ac:dyDescent="0.15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U4" s="57"/>
    </row>
    <row r="5" spans="1:21" ht="25.5" customHeight="1" x14ac:dyDescent="0.15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U5" s="57"/>
    </row>
    <row r="6" spans="1:21" ht="38.25" customHeight="1" x14ac:dyDescent="0.1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U6" s="57"/>
    </row>
    <row r="7" spans="1:21" ht="21.75" customHeight="1" x14ac:dyDescent="0.15">
      <c r="U7" s="57"/>
    </row>
    <row r="8" spans="1:21" ht="16.5" customHeight="1" x14ac:dyDescent="0.15">
      <c r="U8" s="57"/>
    </row>
    <row r="9" spans="1:21" ht="53.25" customHeight="1" x14ac:dyDescent="0.15">
      <c r="U9" s="57"/>
    </row>
    <row r="10" spans="1:21" ht="20.25" customHeight="1" x14ac:dyDescent="0.25">
      <c r="A10" s="192" t="s">
        <v>215</v>
      </c>
      <c r="B10" s="193"/>
      <c r="C10" s="193"/>
      <c r="D10" s="193"/>
      <c r="E10" s="193"/>
      <c r="M10" s="192" t="s">
        <v>216</v>
      </c>
      <c r="N10" s="193"/>
      <c r="O10" s="193"/>
      <c r="P10" s="193"/>
      <c r="Q10" s="193"/>
      <c r="R10" s="193"/>
      <c r="S10" s="193"/>
      <c r="U10" s="57"/>
    </row>
    <row r="11" spans="1:21" ht="22.5" x14ac:dyDescent="0.4">
      <c r="A11" s="48" t="s">
        <v>106</v>
      </c>
      <c r="B11" s="49"/>
      <c r="C11" s="49"/>
      <c r="D11" s="49"/>
      <c r="E11" s="49"/>
      <c r="F11" s="9" t="s">
        <v>1</v>
      </c>
      <c r="G11" s="9" t="s">
        <v>5</v>
      </c>
      <c r="H11" s="9" t="s">
        <v>0</v>
      </c>
      <c r="I11" s="9" t="s">
        <v>2</v>
      </c>
      <c r="J11" s="17" t="s">
        <v>6</v>
      </c>
      <c r="K11" s="3"/>
      <c r="L11" s="3"/>
      <c r="M11" s="48" t="s">
        <v>119</v>
      </c>
      <c r="N11" s="49"/>
      <c r="O11" s="49"/>
      <c r="P11" s="49"/>
      <c r="Q11" s="49"/>
      <c r="R11" s="49"/>
      <c r="S11" s="49"/>
      <c r="U11" s="57"/>
    </row>
    <row r="12" spans="1:21" ht="20.25" x14ac:dyDescent="0.25">
      <c r="A12" s="50" t="s">
        <v>96</v>
      </c>
      <c r="B12" s="49"/>
      <c r="C12" s="49"/>
      <c r="D12" s="49"/>
      <c r="E12" s="49"/>
      <c r="F12" s="55">
        <v>720</v>
      </c>
      <c r="G12" s="55">
        <v>52</v>
      </c>
      <c r="H12" s="55">
        <v>26</v>
      </c>
      <c r="I12" s="55">
        <v>25</v>
      </c>
      <c r="J12" s="18">
        <f>SUM(F12:I12)</f>
        <v>823</v>
      </c>
      <c r="K12" s="3"/>
      <c r="L12" s="3"/>
      <c r="M12" s="50" t="s">
        <v>120</v>
      </c>
      <c r="N12" s="49"/>
      <c r="O12" s="49"/>
      <c r="P12" s="49"/>
      <c r="Q12" s="49"/>
      <c r="R12" s="49"/>
      <c r="S12" s="49"/>
      <c r="U12" s="57"/>
    </row>
    <row r="13" spans="1:21" ht="20.25" x14ac:dyDescent="0.25">
      <c r="A13" s="50" t="s">
        <v>107</v>
      </c>
      <c r="B13" s="49"/>
      <c r="C13" s="49"/>
      <c r="D13" s="49"/>
      <c r="E13" s="49"/>
      <c r="F13" s="8"/>
      <c r="G13" s="3"/>
      <c r="H13" s="3"/>
      <c r="I13" s="3"/>
      <c r="J13" s="3"/>
      <c r="K13" s="3"/>
      <c r="L13" s="3"/>
      <c r="M13" s="50" t="s">
        <v>113</v>
      </c>
      <c r="N13" s="49"/>
      <c r="O13" s="49"/>
      <c r="P13" s="49"/>
      <c r="Q13" s="49"/>
      <c r="R13" s="49"/>
      <c r="S13" s="49"/>
      <c r="U13" s="57"/>
    </row>
    <row r="14" spans="1:21" ht="22.5" x14ac:dyDescent="0.4">
      <c r="A14" s="50" t="s">
        <v>97</v>
      </c>
      <c r="B14" s="49"/>
      <c r="C14" s="49"/>
      <c r="D14" s="49"/>
      <c r="E14" s="49"/>
      <c r="F14" s="9" t="s">
        <v>9</v>
      </c>
      <c r="G14" s="55">
        <v>1280</v>
      </c>
      <c r="H14" s="3"/>
      <c r="I14" s="3"/>
      <c r="J14" s="3"/>
      <c r="K14" s="3"/>
      <c r="L14" s="3"/>
      <c r="M14" s="50" t="s">
        <v>114</v>
      </c>
      <c r="N14" s="49"/>
      <c r="O14" s="49"/>
      <c r="P14" s="49"/>
      <c r="Q14" s="49"/>
      <c r="R14" s="49"/>
      <c r="S14" s="49"/>
      <c r="U14" s="57"/>
    </row>
    <row r="15" spans="1:21" ht="22.5" x14ac:dyDescent="0.4">
      <c r="A15" s="50" t="s">
        <v>98</v>
      </c>
      <c r="B15" s="49"/>
      <c r="C15" s="49"/>
      <c r="D15" s="49"/>
      <c r="E15" s="49"/>
      <c r="F15" s="9" t="s">
        <v>10</v>
      </c>
      <c r="G15" s="55">
        <v>5</v>
      </c>
      <c r="H15" s="3"/>
      <c r="I15" s="11" t="s">
        <v>91</v>
      </c>
      <c r="J15" s="55">
        <v>128000000</v>
      </c>
      <c r="K15" s="44">
        <f>data!J4</f>
        <v>0</v>
      </c>
      <c r="L15" s="3"/>
      <c r="M15" s="50" t="s">
        <v>121</v>
      </c>
      <c r="N15" s="49"/>
      <c r="O15" s="49"/>
      <c r="P15" s="49"/>
      <c r="Q15" s="49"/>
      <c r="R15" s="49"/>
      <c r="S15" s="49"/>
      <c r="U15" s="57"/>
    </row>
    <row r="16" spans="1:21" ht="22.5" x14ac:dyDescent="0.4">
      <c r="A16" s="51" t="s">
        <v>108</v>
      </c>
      <c r="B16" s="49"/>
      <c r="C16" s="49"/>
      <c r="D16" s="49"/>
      <c r="E16" s="49"/>
      <c r="F16" s="9" t="s">
        <v>3</v>
      </c>
      <c r="G16" s="55">
        <v>9</v>
      </c>
      <c r="H16" s="3"/>
      <c r="I16" s="11" t="s">
        <v>17</v>
      </c>
      <c r="J16" s="55">
        <v>60</v>
      </c>
      <c r="K16" s="3"/>
      <c r="L16" s="3"/>
      <c r="M16" s="50" t="s">
        <v>116</v>
      </c>
      <c r="N16" s="49"/>
      <c r="O16" s="49"/>
      <c r="P16" s="49"/>
      <c r="Q16" s="49"/>
      <c r="R16" s="49"/>
      <c r="S16" s="49"/>
      <c r="U16" s="57"/>
    </row>
    <row r="17" spans="1:21" ht="22.5" x14ac:dyDescent="0.4">
      <c r="A17" s="50" t="s">
        <v>109</v>
      </c>
      <c r="B17" s="49"/>
      <c r="C17" s="49"/>
      <c r="D17" s="49"/>
      <c r="E17" s="49"/>
      <c r="F17" s="9" t="s">
        <v>11</v>
      </c>
      <c r="G17" s="55">
        <v>2</v>
      </c>
      <c r="H17" s="3"/>
      <c r="I17" s="11" t="s">
        <v>12</v>
      </c>
      <c r="J17" s="55">
        <v>3</v>
      </c>
      <c r="K17" s="3"/>
      <c r="L17" s="3"/>
      <c r="M17" s="50" t="s">
        <v>117</v>
      </c>
      <c r="N17" s="49"/>
      <c r="O17" s="49"/>
      <c r="P17" s="49"/>
      <c r="Q17" s="49"/>
      <c r="R17" s="49"/>
      <c r="S17" s="49"/>
      <c r="U17" s="57"/>
    </row>
    <row r="18" spans="1:21" ht="22.5" x14ac:dyDescent="0.4">
      <c r="A18" s="50" t="s">
        <v>110</v>
      </c>
      <c r="B18" s="49"/>
      <c r="C18" s="49"/>
      <c r="D18" s="49"/>
      <c r="E18" s="49"/>
      <c r="F18" s="17" t="s">
        <v>13</v>
      </c>
      <c r="G18" s="18">
        <f>SUM(G14:G17)</f>
        <v>1296</v>
      </c>
      <c r="H18" s="3"/>
      <c r="I18" s="11" t="s">
        <v>4</v>
      </c>
      <c r="J18" s="56" t="s">
        <v>83</v>
      </c>
      <c r="K18" s="3"/>
      <c r="L18" s="3"/>
      <c r="M18" s="53" t="s">
        <v>95</v>
      </c>
      <c r="N18" s="49"/>
      <c r="O18" s="49"/>
      <c r="P18" s="49"/>
      <c r="Q18" s="49"/>
      <c r="R18" s="49"/>
      <c r="S18" s="49"/>
      <c r="U18" s="57"/>
    </row>
    <row r="19" spans="1:21" ht="22.5" x14ac:dyDescent="0.25">
      <c r="A19" s="52"/>
      <c r="B19" s="49"/>
      <c r="C19" s="49"/>
      <c r="D19" s="49"/>
      <c r="E19" s="49"/>
      <c r="F19" s="3"/>
      <c r="G19" s="4"/>
      <c r="H19" s="1"/>
      <c r="I19" s="3"/>
      <c r="J19" s="3"/>
      <c r="K19" s="3"/>
      <c r="L19" s="3"/>
      <c r="M19" s="52"/>
      <c r="N19" s="49"/>
      <c r="O19" s="49"/>
      <c r="P19" s="49"/>
      <c r="Q19" s="49"/>
      <c r="R19" s="49"/>
      <c r="S19" s="49"/>
      <c r="U19" s="57"/>
    </row>
    <row r="20" spans="1:21" ht="20.25" x14ac:dyDescent="0.25">
      <c r="A20" s="50" t="s">
        <v>99</v>
      </c>
      <c r="B20" s="49"/>
      <c r="C20" s="49"/>
      <c r="D20" s="49"/>
      <c r="E20" s="49"/>
      <c r="F20" s="14" t="s">
        <v>18</v>
      </c>
      <c r="G20" s="6"/>
      <c r="I20" s="3"/>
      <c r="J20" s="3"/>
      <c r="K20" s="3"/>
      <c r="L20" s="3"/>
      <c r="M20" s="48" t="s">
        <v>122</v>
      </c>
      <c r="N20" s="49"/>
      <c r="O20" s="49"/>
      <c r="P20" s="49"/>
      <c r="Q20" s="49"/>
      <c r="R20" s="49"/>
      <c r="S20" s="49"/>
      <c r="U20" s="57"/>
    </row>
    <row r="21" spans="1:21" ht="22.5" x14ac:dyDescent="0.4">
      <c r="A21" s="50" t="s">
        <v>111</v>
      </c>
      <c r="B21" s="49"/>
      <c r="C21" s="49"/>
      <c r="D21" s="49"/>
      <c r="E21" s="49"/>
      <c r="F21" s="15" t="s">
        <v>19</v>
      </c>
      <c r="G21" s="7">
        <v>60</v>
      </c>
      <c r="I21" s="15" t="s">
        <v>85</v>
      </c>
      <c r="J21" s="7">
        <f>G12</f>
        <v>52</v>
      </c>
      <c r="K21" s="15" t="s">
        <v>92</v>
      </c>
      <c r="L21" s="7">
        <f>G15</f>
        <v>5</v>
      </c>
      <c r="M21" s="50" t="s">
        <v>123</v>
      </c>
      <c r="N21" s="49"/>
      <c r="O21" s="49"/>
      <c r="P21" s="49"/>
      <c r="Q21" s="49"/>
      <c r="R21" s="49"/>
      <c r="S21" s="49"/>
      <c r="U21" s="57"/>
    </row>
    <row r="22" spans="1:21" ht="22.5" x14ac:dyDescent="0.4">
      <c r="A22" s="50" t="s">
        <v>100</v>
      </c>
      <c r="B22" s="49"/>
      <c r="C22" s="49"/>
      <c r="D22" s="49"/>
      <c r="E22" s="49"/>
      <c r="F22" s="16" t="s">
        <v>15</v>
      </c>
      <c r="G22" s="19">
        <v>614</v>
      </c>
      <c r="H22" s="13" t="s">
        <v>16</v>
      </c>
      <c r="I22" s="15" t="s">
        <v>86</v>
      </c>
      <c r="J22" s="7">
        <f>H12</f>
        <v>26</v>
      </c>
      <c r="K22" s="15" t="s">
        <v>93</v>
      </c>
      <c r="L22" s="7">
        <f>G16</f>
        <v>9</v>
      </c>
      <c r="M22" s="50" t="s">
        <v>124</v>
      </c>
      <c r="N22" s="49"/>
      <c r="O22" s="49"/>
      <c r="P22" s="49"/>
      <c r="Q22" s="49"/>
      <c r="R22" s="49"/>
      <c r="S22" s="49"/>
      <c r="U22" s="57"/>
    </row>
    <row r="23" spans="1:21" ht="24.75" x14ac:dyDescent="0.4">
      <c r="A23" s="50" t="s">
        <v>112</v>
      </c>
      <c r="B23" s="49"/>
      <c r="C23" s="49"/>
      <c r="D23" s="49"/>
      <c r="E23" s="49"/>
      <c r="F23" s="16" t="s">
        <v>45</v>
      </c>
      <c r="G23" s="7">
        <v>64000000</v>
      </c>
      <c r="H23" s="5"/>
      <c r="I23" s="15" t="s">
        <v>87</v>
      </c>
      <c r="J23" s="7">
        <f>I12</f>
        <v>25</v>
      </c>
      <c r="K23" s="15" t="s">
        <v>94</v>
      </c>
      <c r="L23" s="7">
        <f>G17</f>
        <v>2</v>
      </c>
      <c r="M23" s="50" t="s">
        <v>125</v>
      </c>
      <c r="N23" s="49"/>
      <c r="O23" s="49"/>
      <c r="P23" s="49"/>
      <c r="Q23" s="49"/>
      <c r="R23" s="49"/>
      <c r="S23" s="49"/>
      <c r="U23" s="57"/>
    </row>
    <row r="24" spans="1:21" ht="15" x14ac:dyDescent="0.15">
      <c r="A24" s="50" t="s">
        <v>113</v>
      </c>
      <c r="B24" s="49"/>
      <c r="C24" s="49"/>
      <c r="D24" s="49"/>
      <c r="E24" s="49"/>
      <c r="M24" s="50" t="s">
        <v>206</v>
      </c>
      <c r="N24" s="49"/>
      <c r="O24" s="49"/>
      <c r="P24" s="49"/>
      <c r="Q24" s="49"/>
      <c r="R24" s="49"/>
      <c r="S24" s="49"/>
      <c r="U24" s="57"/>
    </row>
    <row r="25" spans="1:21" ht="15" x14ac:dyDescent="0.15">
      <c r="A25" s="50" t="s">
        <v>114</v>
      </c>
      <c r="B25" s="49"/>
      <c r="C25" s="49"/>
      <c r="D25" s="49"/>
      <c r="E25" s="49"/>
      <c r="M25" s="50" t="s">
        <v>126</v>
      </c>
      <c r="N25" s="49"/>
      <c r="O25" s="49"/>
      <c r="P25" s="49"/>
      <c r="Q25" s="49"/>
      <c r="R25" s="49"/>
      <c r="S25" s="49"/>
      <c r="U25" s="57"/>
    </row>
    <row r="26" spans="1:21" ht="15" x14ac:dyDescent="0.15">
      <c r="A26" s="50" t="s">
        <v>115</v>
      </c>
      <c r="B26" s="49"/>
      <c r="C26" s="49"/>
      <c r="D26" s="49"/>
      <c r="E26" s="49"/>
      <c r="M26" s="50" t="s">
        <v>127</v>
      </c>
      <c r="N26" s="49"/>
      <c r="O26" s="49"/>
      <c r="P26" s="49"/>
      <c r="Q26" s="49"/>
      <c r="R26" s="49"/>
      <c r="S26" s="49"/>
      <c r="U26" s="57"/>
    </row>
    <row r="27" spans="1:21" ht="15" x14ac:dyDescent="0.15">
      <c r="A27" s="50" t="s">
        <v>116</v>
      </c>
      <c r="B27" s="49"/>
      <c r="C27" s="49"/>
      <c r="D27" s="49"/>
      <c r="E27" s="49"/>
      <c r="M27" s="50" t="s">
        <v>128</v>
      </c>
      <c r="N27" s="49"/>
      <c r="O27" s="49"/>
      <c r="P27" s="49"/>
      <c r="Q27" s="49"/>
      <c r="R27" s="49"/>
      <c r="S27" s="49"/>
      <c r="U27" s="57"/>
    </row>
    <row r="28" spans="1:21" ht="15" x14ac:dyDescent="0.15">
      <c r="A28" s="50" t="s">
        <v>117</v>
      </c>
      <c r="B28" s="49"/>
      <c r="C28" s="49"/>
      <c r="D28" s="49"/>
      <c r="E28" s="49"/>
      <c r="M28" s="50" t="s">
        <v>129</v>
      </c>
      <c r="N28" s="49"/>
      <c r="O28" s="49"/>
      <c r="P28" s="49"/>
      <c r="Q28" s="49"/>
      <c r="R28" s="49"/>
      <c r="S28" s="49"/>
      <c r="U28" s="57"/>
    </row>
    <row r="29" spans="1:21" ht="22.5" x14ac:dyDescent="0.25">
      <c r="A29" s="50" t="s">
        <v>101</v>
      </c>
      <c r="B29" s="49"/>
      <c r="C29" s="49"/>
      <c r="D29" s="49"/>
      <c r="E29" s="49"/>
      <c r="G29" s="194" t="s">
        <v>204</v>
      </c>
      <c r="H29" s="194"/>
      <c r="I29" s="194"/>
      <c r="J29" s="194"/>
      <c r="K29" s="194"/>
      <c r="M29" s="50" t="s">
        <v>130</v>
      </c>
      <c r="N29" s="49"/>
      <c r="O29" s="49"/>
      <c r="P29" s="49"/>
      <c r="Q29" s="49"/>
      <c r="R29" s="49"/>
      <c r="S29" s="49"/>
      <c r="U29" s="57"/>
    </row>
    <row r="30" spans="1:21" ht="15" x14ac:dyDescent="0.15">
      <c r="A30" s="52"/>
      <c r="B30" s="49"/>
      <c r="C30" s="49"/>
      <c r="D30" s="49"/>
      <c r="E30" s="49"/>
      <c r="M30" s="50" t="s">
        <v>131</v>
      </c>
      <c r="N30" s="49"/>
      <c r="O30" s="49"/>
      <c r="P30" s="49"/>
      <c r="Q30" s="49"/>
      <c r="R30" s="49"/>
      <c r="S30" s="49"/>
      <c r="U30" s="57"/>
    </row>
    <row r="31" spans="1:21" ht="15" x14ac:dyDescent="0.15">
      <c r="A31" s="50" t="s">
        <v>102</v>
      </c>
      <c r="B31" s="49"/>
      <c r="C31" s="49"/>
      <c r="D31" s="49"/>
      <c r="E31" s="49"/>
      <c r="M31" s="50" t="s">
        <v>132</v>
      </c>
      <c r="N31" s="49"/>
      <c r="O31" s="49"/>
      <c r="P31" s="49"/>
      <c r="Q31" s="49"/>
      <c r="R31" s="49"/>
      <c r="S31" s="49"/>
      <c r="U31" s="57"/>
    </row>
    <row r="32" spans="1:21" ht="15" x14ac:dyDescent="0.15">
      <c r="A32" s="50" t="s">
        <v>205</v>
      </c>
      <c r="B32" s="49"/>
      <c r="C32" s="49"/>
      <c r="D32" s="49"/>
      <c r="E32" s="49"/>
      <c r="M32" s="50" t="s">
        <v>133</v>
      </c>
      <c r="N32" s="49"/>
      <c r="O32" s="49"/>
      <c r="P32" s="49"/>
      <c r="Q32" s="49"/>
      <c r="R32" s="49"/>
      <c r="S32" s="49"/>
      <c r="U32" s="57"/>
    </row>
    <row r="33" spans="1:21" ht="15" x14ac:dyDescent="0.15">
      <c r="A33" s="50" t="s">
        <v>118</v>
      </c>
      <c r="B33" s="49"/>
      <c r="C33" s="49"/>
      <c r="D33" s="49"/>
      <c r="E33" s="49"/>
      <c r="M33" s="53" t="s">
        <v>95</v>
      </c>
      <c r="N33" s="49"/>
      <c r="O33" s="49"/>
      <c r="P33" s="49"/>
      <c r="Q33" s="49"/>
      <c r="R33" s="49"/>
      <c r="S33" s="49"/>
      <c r="U33" s="57"/>
    </row>
    <row r="34" spans="1:21" ht="15" x14ac:dyDescent="0.15">
      <c r="A34" s="50" t="s">
        <v>103</v>
      </c>
      <c r="B34" s="49"/>
      <c r="C34" s="49"/>
      <c r="D34" s="49"/>
      <c r="E34" s="49"/>
      <c r="M34" s="52"/>
      <c r="N34" s="49"/>
      <c r="O34" s="49"/>
      <c r="P34" s="49"/>
      <c r="Q34" s="49"/>
      <c r="R34" s="49"/>
      <c r="S34" s="49"/>
      <c r="U34" s="57"/>
    </row>
    <row r="35" spans="1:21" ht="15" x14ac:dyDescent="0.15">
      <c r="A35" s="50" t="s">
        <v>104</v>
      </c>
      <c r="B35" s="49"/>
      <c r="C35" s="49"/>
      <c r="D35" s="49"/>
      <c r="E35" s="49"/>
      <c r="M35" s="48" t="s">
        <v>134</v>
      </c>
      <c r="N35" s="49"/>
      <c r="O35" s="49"/>
      <c r="P35" s="49"/>
      <c r="Q35" s="49"/>
      <c r="R35" s="49"/>
      <c r="S35" s="49"/>
      <c r="U35" s="57"/>
    </row>
    <row r="36" spans="1:21" ht="15" x14ac:dyDescent="0.15">
      <c r="A36" s="50" t="s">
        <v>105</v>
      </c>
      <c r="B36" s="49"/>
      <c r="C36" s="49"/>
      <c r="D36" s="49"/>
      <c r="E36" s="49"/>
      <c r="M36" s="50" t="s">
        <v>135</v>
      </c>
      <c r="N36" s="49"/>
      <c r="O36" s="49"/>
      <c r="P36" s="49"/>
      <c r="Q36" s="49"/>
      <c r="R36" s="49"/>
      <c r="S36" s="49"/>
      <c r="U36" s="57"/>
    </row>
    <row r="37" spans="1:21" ht="15" x14ac:dyDescent="0.15">
      <c r="A37" s="53" t="s">
        <v>95</v>
      </c>
      <c r="B37" s="49"/>
      <c r="C37" s="49"/>
      <c r="D37" s="49"/>
      <c r="E37" s="49"/>
      <c r="M37" s="50" t="s">
        <v>136</v>
      </c>
      <c r="N37" s="49"/>
      <c r="O37" s="49"/>
      <c r="P37" s="49"/>
      <c r="Q37" s="49"/>
      <c r="R37" s="49"/>
      <c r="S37" s="49"/>
      <c r="U37" s="57"/>
    </row>
    <row r="38" spans="1:21" ht="15" x14ac:dyDescent="0.15">
      <c r="M38" s="50" t="s">
        <v>137</v>
      </c>
      <c r="N38" s="49"/>
      <c r="O38" s="49"/>
      <c r="P38" s="49"/>
      <c r="Q38" s="49"/>
      <c r="R38" s="49"/>
      <c r="S38" s="49"/>
      <c r="U38" s="57"/>
    </row>
    <row r="39" spans="1:21" ht="15" x14ac:dyDescent="0.15">
      <c r="M39" s="50" t="s">
        <v>138</v>
      </c>
      <c r="N39" s="49"/>
      <c r="O39" s="49"/>
      <c r="P39" s="49"/>
      <c r="Q39" s="49"/>
      <c r="R39" s="49"/>
      <c r="S39" s="49"/>
      <c r="U39" s="57"/>
    </row>
    <row r="40" spans="1:21" ht="15" x14ac:dyDescent="0.15">
      <c r="M40" s="50" t="s">
        <v>139</v>
      </c>
      <c r="N40" s="49"/>
      <c r="O40" s="49"/>
      <c r="P40" s="49"/>
      <c r="Q40" s="49"/>
      <c r="R40" s="49"/>
      <c r="S40" s="49"/>
      <c r="U40" s="57"/>
    </row>
    <row r="41" spans="1:21" ht="15" x14ac:dyDescent="0.15">
      <c r="M41" s="50" t="s">
        <v>140</v>
      </c>
      <c r="N41" s="49"/>
      <c r="O41" s="49"/>
      <c r="P41" s="49"/>
      <c r="Q41" s="49"/>
      <c r="R41" s="49"/>
      <c r="S41" s="49"/>
      <c r="U41" s="57"/>
    </row>
    <row r="42" spans="1:21" ht="15" x14ac:dyDescent="0.15">
      <c r="M42" s="50" t="s">
        <v>141</v>
      </c>
      <c r="N42" s="49"/>
      <c r="O42" s="49"/>
      <c r="P42" s="49"/>
      <c r="Q42" s="49"/>
      <c r="R42" s="49"/>
      <c r="S42" s="49"/>
      <c r="U42" s="57"/>
    </row>
    <row r="43" spans="1:21" ht="15" x14ac:dyDescent="0.15">
      <c r="M43" s="50" t="s">
        <v>142</v>
      </c>
      <c r="N43" s="49"/>
      <c r="O43" s="49"/>
      <c r="P43" s="49"/>
      <c r="Q43" s="49"/>
      <c r="R43" s="49"/>
      <c r="S43" s="49"/>
      <c r="U43" s="57"/>
    </row>
    <row r="44" spans="1:21" ht="15" x14ac:dyDescent="0.15">
      <c r="M44" s="50" t="s">
        <v>143</v>
      </c>
      <c r="N44" s="49"/>
      <c r="O44" s="49"/>
      <c r="P44" s="49"/>
      <c r="Q44" s="49"/>
      <c r="R44" s="49"/>
      <c r="S44" s="49"/>
      <c r="U44" s="57"/>
    </row>
    <row r="45" spans="1:21" ht="15" x14ac:dyDescent="0.15">
      <c r="M45" s="53" t="s">
        <v>95</v>
      </c>
      <c r="N45" s="49"/>
      <c r="O45" s="49"/>
      <c r="P45" s="49"/>
      <c r="Q45" s="49"/>
      <c r="R45" s="49"/>
      <c r="S45" s="49"/>
      <c r="U45" s="57"/>
    </row>
    <row r="46" spans="1:21" x14ac:dyDescent="0.15">
      <c r="U46" s="57"/>
    </row>
    <row r="47" spans="1:21" x14ac:dyDescent="0.15">
      <c r="U47" s="57"/>
    </row>
    <row r="48" spans="1:21" x14ac:dyDescent="0.15">
      <c r="U48" s="57"/>
    </row>
    <row r="49" spans="21:21" x14ac:dyDescent="0.15">
      <c r="U49" s="57"/>
    </row>
    <row r="50" spans="21:21" x14ac:dyDescent="0.15">
      <c r="U50" s="57"/>
    </row>
    <row r="51" spans="21:21" x14ac:dyDescent="0.15">
      <c r="U51" s="57"/>
    </row>
    <row r="52" spans="21:21" x14ac:dyDescent="0.15">
      <c r="U52" s="57"/>
    </row>
    <row r="53" spans="21:21" x14ac:dyDescent="0.15">
      <c r="U53" s="57"/>
    </row>
    <row r="54" spans="21:21" x14ac:dyDescent="0.15">
      <c r="U54" s="57"/>
    </row>
    <row r="55" spans="21:21" x14ac:dyDescent="0.15">
      <c r="U55" s="57"/>
    </row>
    <row r="56" spans="21:21" x14ac:dyDescent="0.15">
      <c r="U56" s="57"/>
    </row>
    <row r="57" spans="21:21" x14ac:dyDescent="0.15">
      <c r="U57" s="57"/>
    </row>
    <row r="58" spans="21:21" x14ac:dyDescent="0.15">
      <c r="U58" s="58"/>
    </row>
    <row r="59" spans="21:21" x14ac:dyDescent="0.15">
      <c r="U59" s="58"/>
    </row>
    <row r="60" spans="21:21" x14ac:dyDescent="0.15">
      <c r="U60" s="58"/>
    </row>
    <row r="61" spans="21:21" x14ac:dyDescent="0.15">
      <c r="U61" s="58"/>
    </row>
    <row r="62" spans="21:21" x14ac:dyDescent="0.15">
      <c r="U62" s="58"/>
    </row>
    <row r="63" spans="21:21" x14ac:dyDescent="0.15">
      <c r="U63" s="58"/>
    </row>
    <row r="64" spans="21:21" x14ac:dyDescent="0.15">
      <c r="U64" s="58"/>
    </row>
    <row r="65" spans="21:21" x14ac:dyDescent="0.15">
      <c r="U65" s="58"/>
    </row>
    <row r="66" spans="21:21" x14ac:dyDescent="0.15">
      <c r="U66" s="58"/>
    </row>
    <row r="67" spans="21:21" x14ac:dyDescent="0.15">
      <c r="U67" s="58"/>
    </row>
    <row r="68" spans="21:21" x14ac:dyDescent="0.15">
      <c r="U68" s="58"/>
    </row>
    <row r="69" spans="21:21" x14ac:dyDescent="0.15">
      <c r="U69" s="58"/>
    </row>
    <row r="70" spans="21:21" x14ac:dyDescent="0.15">
      <c r="U70" s="58"/>
    </row>
    <row r="71" spans="21:21" x14ac:dyDescent="0.15">
      <c r="U71" s="58"/>
    </row>
  </sheetData>
  <sheetProtection algorithmName="SHA-512" hashValue="nrjhw5swMcBR+7CCY5jauDoY4KqlN5neZh5sHfE/FNpLU5vZfCMq6/NceqP1fia3c3A3tKua8n0DoekWMpUj5w==" saltValue="aOk/bpSL3BMRNYcG8KAe9A==" spinCount="100000" sheet="1" selectLockedCells="1" selectUnlockedCells="1"/>
  <mergeCells count="3">
    <mergeCell ref="M10:S10"/>
    <mergeCell ref="A10:E10"/>
    <mergeCell ref="G29:K29"/>
  </mergeCells>
  <phoneticPr fontId="1" type="noConversion"/>
  <dataValidations count="4">
    <dataValidation type="list" allowBlank="1" showInputMessage="1" showErrorMessage="1" promptTitle="请选择pixels_clksrc" sqref="J15">
      <formula1>OFFSET(INDIRECT($E$17),0,0)</formula1>
    </dataValidation>
    <dataValidation allowBlank="1" showDropDown="1" showInputMessage="1" showErrorMessage="1" sqref="K15"/>
    <dataValidation type="list" allowBlank="1" showInputMessage="1" showErrorMessage="1" sqref="J18">
      <formula1>"SC7731E,SC9863A"</formula1>
    </dataValidation>
    <dataValidation type="whole" allowBlank="1" showInputMessage="1" showErrorMessage="1" error="超过了此product最大支持的lan_number" sqref="J17">
      <formula1>1</formula1>
      <formula2>M19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1:CO72"/>
  <sheetViews>
    <sheetView workbookViewId="0">
      <selection activeCell="F11" sqref="F11"/>
    </sheetView>
  </sheetViews>
  <sheetFormatPr defaultRowHeight="13.5" x14ac:dyDescent="0.15"/>
  <cols>
    <col min="1" max="1" width="16.375" customWidth="1"/>
    <col min="2" max="2" width="15.375" customWidth="1"/>
    <col min="3" max="3" width="15.25" customWidth="1"/>
    <col min="4" max="4" width="15.5" customWidth="1"/>
    <col min="5" max="5" width="16.375" customWidth="1"/>
    <col min="6" max="6" width="16.625" customWidth="1"/>
    <col min="7" max="7" width="15.5" customWidth="1"/>
    <col min="8" max="8" width="17.75" customWidth="1"/>
    <col min="9" max="9" width="14.875" customWidth="1"/>
  </cols>
  <sheetData>
    <row r="1" spans="1:9" ht="25.5" customHeight="1" x14ac:dyDescent="0.15">
      <c r="A1" s="197" t="s">
        <v>224</v>
      </c>
      <c r="B1" s="197"/>
      <c r="C1" s="197"/>
      <c r="D1" s="197"/>
      <c r="E1" s="197"/>
      <c r="F1" s="197"/>
      <c r="G1" s="197"/>
    </row>
    <row r="2" spans="1:9" x14ac:dyDescent="0.15">
      <c r="A2" s="198" t="s">
        <v>38</v>
      </c>
      <c r="B2" s="33" t="s">
        <v>36</v>
      </c>
      <c r="C2" s="33" t="s">
        <v>37</v>
      </c>
      <c r="D2" s="33" t="s">
        <v>182</v>
      </c>
    </row>
    <row r="3" spans="1:9" x14ac:dyDescent="0.15">
      <c r="A3" s="199"/>
      <c r="B3" s="68" t="str">
        <f>'lcd(mipi) main'!E8</f>
        <v>UMS512</v>
      </c>
      <c r="C3" s="27">
        <f>spec!H57</f>
        <v>10</v>
      </c>
      <c r="D3" s="27">
        <f>CHOOSE(C3,spec!I3,spec!I4,spec!I5,spec!I6,spec!I7,spec!I8,spec!I9,spec!I10,spec!I11,spec!I12,spec!I13,spec!I14,spec!I15,spec!I16,spec!I24,spec!I25)</f>
        <v>0</v>
      </c>
    </row>
    <row r="4" spans="1:9" x14ac:dyDescent="0.15">
      <c r="A4" s="200" t="s">
        <v>24</v>
      </c>
      <c r="B4" s="59" t="s">
        <v>39</v>
      </c>
      <c r="C4" s="59" t="s">
        <v>41</v>
      </c>
    </row>
    <row r="5" spans="1:9" x14ac:dyDescent="0.15">
      <c r="A5" s="201"/>
      <c r="B5" s="69">
        <f>'lcd(mipi) main'!E7</f>
        <v>4</v>
      </c>
      <c r="C5" s="60">
        <f>CHOOSE(C3,spec!C30,spec!C31,spec!C32,spec!C33,spec!C34,spec!C35,spec!C36,spec!C37,spec!C38,spec!C39,spec!C40,spec!C41,spec!C49,spec!C50,spec!C51,spec!C52)</f>
        <v>4</v>
      </c>
    </row>
    <row r="6" spans="1:9" x14ac:dyDescent="0.15">
      <c r="A6" s="195" t="s">
        <v>177</v>
      </c>
      <c r="B6" s="71">
        <v>1</v>
      </c>
      <c r="C6" s="71">
        <v>2</v>
      </c>
      <c r="D6" s="71">
        <v>3</v>
      </c>
      <c r="E6" s="71">
        <v>4</v>
      </c>
      <c r="F6" s="71">
        <v>5</v>
      </c>
      <c r="G6" s="71">
        <v>6</v>
      </c>
      <c r="H6" s="71">
        <v>7</v>
      </c>
      <c r="I6" s="139" t="s">
        <v>230</v>
      </c>
    </row>
    <row r="7" spans="1:9" x14ac:dyDescent="0.15">
      <c r="A7" s="195"/>
      <c r="B7" s="27">
        <f>CHOOSE(C3,spec!B3,spec!B4,spec!B5,spec!B6,spec!B7,spec!B8,spec!B9,spec!B10,spec!B11,spec!B12,spec!B13,spec!B14,spec!B15,spec!B16,spec!B24,spec!B25)</f>
        <v>96000000</v>
      </c>
      <c r="C7" s="27">
        <f>CHOOSE(C3,spec!C3,spec!C4,spec!C5,spec!C6,spec!C7,spec!C8,spec!C9,spec!C10,spec!C11,spec!C12,spec!C13,spec!C14,spec!C15,spec!C16,spec!C24,spec!C25)</f>
        <v>128000000</v>
      </c>
      <c r="D7" s="27">
        <f>CHOOSE(C3,spec!D3,spec!D4,spec!D5,spec!D6,spec!D7,spec!D8,spec!D9,spec!D10,spec!D11,spec!D12,spec!D13,spec!D14,spec!D15,spec!D16,spec!D24,spec!D25)</f>
        <v>153600000</v>
      </c>
      <c r="E7" s="27">
        <f>CHOOSE(C3,spec!E3,spec!E4,spec!E5,spec!E6,spec!E7,spec!E8,spec!E9,spec!E10,spec!E11,spec!E12,spec!E13,spec!E14,spec!E15,spec!E16,spec!E24,spec!E25)</f>
        <v>192000000</v>
      </c>
      <c r="F7" s="27">
        <f>CHOOSE(C3,spec!F3,spec!F4,spec!F5,spec!F6,spec!F7,spec!F8,spec!F9,spec!F10,spec!F11,spec!F12,spec!F13,spec!F14,spec!F15,spec!F16,spec!F24,spec!F25)</f>
        <v>0</v>
      </c>
      <c r="G7" s="27">
        <f>CHOOSE(C3,spec!G3,spec!G4,spec!G5,spec!G6,spec!G7,spec!G8,spec!G9,spec!G10,spec!G11,spec!G12,spec!G13,spec!G14,spec!G15,spec!G16,spec!G24,spec!G25)</f>
        <v>0</v>
      </c>
      <c r="H7" s="27">
        <f>CHOOSE(C3,spec!H3,spec!H4,spec!H5,spec!H6,spec!H7,spec!H8,spec!H9,spec!H10,spec!H11,spec!H12,spec!H13,spec!H14,spec!H15,spec!H16,spec!H24,spec!H25)</f>
        <v>0</v>
      </c>
      <c r="I7" s="27" t="str">
        <f>CHOOSE(C3,spec!J3,spec!J4,spec!J5,spec!J6,spec!J7,spec!J8,spec!J9,spec!J10,spec!J11,spec!J12,spec!J13,spec!J14,spec!J15,spec!J16,spec!J24,spec!J25)</f>
        <v>UMS512_DPI</v>
      </c>
    </row>
    <row r="8" spans="1:9" x14ac:dyDescent="0.15">
      <c r="A8" s="196" t="s">
        <v>15</v>
      </c>
      <c r="B8" s="80" t="s">
        <v>41</v>
      </c>
    </row>
    <row r="9" spans="1:9" x14ac:dyDescent="0.15">
      <c r="A9" s="196"/>
      <c r="B9" s="73">
        <f>CHOOSE(C3,spec!E30,spec!E31,spec!E32,spec!E33,spec!E34,spec!E35,spec!E36,spec!E37,spec!E38,spec!E39,spec!E40,spec!E41,spec!E49,spec!E50,spec!E51,spec!E52)</f>
        <v>1500</v>
      </c>
    </row>
    <row r="10" spans="1:9" ht="19.5" customHeight="1" x14ac:dyDescent="0.15">
      <c r="A10" s="59" t="s">
        <v>176</v>
      </c>
      <c r="B10" s="27">
        <f>'lcd(mipi) main'!E5</f>
        <v>0</v>
      </c>
    </row>
    <row r="11" spans="1:9" ht="19.5" customHeight="1" x14ac:dyDescent="0.15">
      <c r="A11" s="117" t="s">
        <v>171</v>
      </c>
      <c r="B11" s="27">
        <f>'lcd(mipi) main'!E6</f>
        <v>60</v>
      </c>
    </row>
    <row r="12" spans="1:9" ht="19.5" customHeight="1" x14ac:dyDescent="0.15">
      <c r="A12" s="118" t="s">
        <v>172</v>
      </c>
      <c r="B12" s="27">
        <f>'lcd(mipi) main'!E2*'lcd(mipi) main'!B8</f>
        <v>2656800</v>
      </c>
    </row>
    <row r="13" spans="1:9" ht="19.5" customHeight="1" x14ac:dyDescent="0.15">
      <c r="A13" s="20"/>
      <c r="B13" s="20"/>
    </row>
    <row r="14" spans="1:9" ht="16.5" hidden="1" customHeight="1" x14ac:dyDescent="0.15"/>
    <row r="15" spans="1:9" ht="17.25" hidden="1" customHeight="1" x14ac:dyDescent="0.15"/>
    <row r="16" spans="1:9" ht="17.25" hidden="1" customHeight="1" x14ac:dyDescent="0.15"/>
    <row r="17" spans="1:93" ht="17.25" hidden="1" customHeight="1" x14ac:dyDescent="0.15"/>
    <row r="18" spans="1:93" ht="17.25" hidden="1" customHeight="1" x14ac:dyDescent="0.15"/>
    <row r="19" spans="1:93" ht="17.25" hidden="1" customHeight="1" x14ac:dyDescent="0.15"/>
    <row r="20" spans="1:93" ht="11.25" hidden="1" customHeight="1" x14ac:dyDescent="0.15"/>
    <row r="21" spans="1:93" ht="13.5" hidden="1" customHeight="1" x14ac:dyDescent="0.15"/>
    <row r="22" spans="1:93" ht="17.25" hidden="1" customHeight="1" x14ac:dyDescent="0.15"/>
    <row r="23" spans="1:93" ht="12.75" hidden="1" customHeight="1" x14ac:dyDescent="0.15"/>
    <row r="24" spans="1:93" ht="17.25" hidden="1" customHeight="1" x14ac:dyDescent="0.15"/>
    <row r="25" spans="1:93" ht="17.25" hidden="1" customHeight="1" x14ac:dyDescent="0.15"/>
    <row r="26" spans="1:93" ht="17.25" hidden="1" customHeight="1" x14ac:dyDescent="0.15"/>
    <row r="27" spans="1:93" ht="17.25" hidden="1" customHeight="1" x14ac:dyDescent="0.15"/>
    <row r="28" spans="1:93" ht="17.25" hidden="1" customHeight="1" x14ac:dyDescent="0.15"/>
    <row r="29" spans="1:93" s="119" customFormat="1" ht="17.25" customHeight="1" x14ac:dyDescent="0.15">
      <c r="A29" s="202"/>
      <c r="B29" s="202"/>
      <c r="C29" s="202"/>
      <c r="D29" s="202"/>
      <c r="E29" s="202"/>
      <c r="F29" s="202"/>
      <c r="G29" s="202"/>
      <c r="H29" s="202"/>
      <c r="I29" s="202"/>
      <c r="J29" s="202"/>
      <c r="K29" s="202"/>
      <c r="L29" s="202"/>
      <c r="M29" s="202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s="119" customFormat="1" ht="17.25" customHeight="1" x14ac:dyDescent="0.15">
      <c r="A30" s="202"/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ht="23.25" customHeight="1" x14ac:dyDescent="0.15">
      <c r="A31" s="197" t="s">
        <v>225</v>
      </c>
      <c r="B31" s="197"/>
      <c r="C31" s="197"/>
      <c r="D31" s="197"/>
      <c r="E31" s="197"/>
      <c r="F31" s="197"/>
      <c r="G31" s="197"/>
    </row>
    <row r="32" spans="1:93" ht="24" customHeight="1" x14ac:dyDescent="0.15">
      <c r="A32" s="198" t="s">
        <v>38</v>
      </c>
      <c r="B32" s="33" t="s">
        <v>36</v>
      </c>
      <c r="C32" s="33" t="s">
        <v>37</v>
      </c>
      <c r="D32" s="33" t="s">
        <v>182</v>
      </c>
    </row>
    <row r="33" spans="1:7" ht="16.5" customHeight="1" x14ac:dyDescent="0.15">
      <c r="A33" s="199"/>
      <c r="B33" s="68" t="str">
        <f>'lcd(mipi) legacy'!E8</f>
        <v>SC9853I</v>
      </c>
      <c r="C33" s="72">
        <f>spec!E57</f>
        <v>5</v>
      </c>
      <c r="D33" s="72">
        <f>CHOOSE(C33,spec!I3,spec!I4,spec!I5,spec!I6,spec!I7,spec!I8,spec!I9,spec!I10)</f>
        <v>153600000</v>
      </c>
    </row>
    <row r="34" spans="1:7" ht="19.5" customHeight="1" x14ac:dyDescent="0.15">
      <c r="A34" s="200" t="s">
        <v>24</v>
      </c>
      <c r="B34" s="59" t="s">
        <v>39</v>
      </c>
      <c r="C34" s="59" t="s">
        <v>41</v>
      </c>
    </row>
    <row r="35" spans="1:7" ht="18" customHeight="1" x14ac:dyDescent="0.15">
      <c r="A35" s="201"/>
      <c r="B35" s="69">
        <f>'lcd(mipi) legacy'!E7</f>
        <v>4</v>
      </c>
      <c r="C35" s="69">
        <f>CHOOSE(C33,spec!C30,spec!C31,spec!C32,spec!C33,spec!C34,spec!C35,spec!C36,spec!C37)</f>
        <v>4</v>
      </c>
    </row>
    <row r="36" spans="1:7" ht="18" customHeight="1" x14ac:dyDescent="0.15">
      <c r="A36" s="195" t="s">
        <v>179</v>
      </c>
      <c r="B36" s="70">
        <v>1</v>
      </c>
      <c r="C36" s="70">
        <v>2</v>
      </c>
      <c r="D36" s="70">
        <v>3</v>
      </c>
      <c r="E36" s="70">
        <v>4</v>
      </c>
      <c r="F36" s="70">
        <v>5</v>
      </c>
      <c r="G36" s="70">
        <v>6</v>
      </c>
    </row>
    <row r="37" spans="1:7" ht="21.75" customHeight="1" x14ac:dyDescent="0.15">
      <c r="A37" s="195"/>
      <c r="B37" s="27">
        <f>CHOOSE(C33,spec!B3,spec!B4,spec!B5,spec!B6,spec!B7,spec!B8,spec!B9,spec!B10)</f>
        <v>128000000</v>
      </c>
      <c r="C37" s="27">
        <f>CHOOSE(C33,spec!C3,spec!C4,spec!C5,spec!C6,spec!C7,spec!C8,spec!C9,spec!C10)</f>
        <v>153600000</v>
      </c>
      <c r="D37" s="27">
        <f>CHOOSE(C33,spec!D3,spec!D4,spec!D5,spec!D6,spec!D7,spec!D8,spec!D9,spec!D10)</f>
        <v>192000000</v>
      </c>
      <c r="E37" s="27">
        <f>CHOOSE(C33,spec!E3,spec!E4,spec!E5,spec!E6,spec!E7,spec!E8,spec!E9,spec!E10)</f>
        <v>256000000</v>
      </c>
      <c r="F37" s="27">
        <f>CHOOSE(C33,spec!F3,spec!F4,spec!F5,spec!F6,spec!F7,spec!F8,spec!F9,spec!F10)</f>
        <v>0</v>
      </c>
      <c r="G37" s="27">
        <f>CHOOSE(C33,spec!G3,spec!G4,spec!G5,spec!G6,spec!G7,spec!G8,spec!G9,spec!G10)</f>
        <v>0</v>
      </c>
    </row>
    <row r="38" spans="1:7" ht="22.5" customHeight="1" x14ac:dyDescent="0.15">
      <c r="A38" s="196" t="s">
        <v>15</v>
      </c>
      <c r="B38" s="80" t="s">
        <v>41</v>
      </c>
    </row>
    <row r="39" spans="1:7" ht="18.75" customHeight="1" x14ac:dyDescent="0.15">
      <c r="A39" s="196"/>
      <c r="B39" s="36">
        <f>CHOOSE(C33,spec!E30,spec!E31,spec!E32,spec!E33,spec!E34,spec!E35,spec!E36,spec!E37)</f>
        <v>1500</v>
      </c>
    </row>
    <row r="40" spans="1:7" ht="19.5" customHeight="1" x14ac:dyDescent="0.15">
      <c r="A40" s="59" t="s">
        <v>178</v>
      </c>
      <c r="B40" s="27">
        <f>'lcd(mipi) legacy'!E5</f>
        <v>153600000</v>
      </c>
    </row>
    <row r="41" spans="1:7" ht="21.75" customHeight="1" x14ac:dyDescent="0.15">
      <c r="A41" s="117" t="s">
        <v>171</v>
      </c>
      <c r="B41" s="27">
        <f>'lcd(mipi) legacy'!E6</f>
        <v>60</v>
      </c>
    </row>
    <row r="42" spans="1:7" ht="20.25" customHeight="1" x14ac:dyDescent="0.15">
      <c r="A42" s="118" t="s">
        <v>172</v>
      </c>
      <c r="B42" s="27">
        <f>'lcd(mipi) legacy'!E2*'lcd(mipi) legacy'!B8</f>
        <v>1245750</v>
      </c>
    </row>
    <row r="44" spans="1:7" hidden="1" x14ac:dyDescent="0.15"/>
    <row r="45" spans="1:7" hidden="1" x14ac:dyDescent="0.15"/>
    <row r="46" spans="1:7" hidden="1" x14ac:dyDescent="0.15"/>
    <row r="47" spans="1:7" hidden="1" x14ac:dyDescent="0.15"/>
    <row r="48" spans="1:7" hidden="1" x14ac:dyDescent="0.15"/>
    <row r="49" spans="1:13" hidden="1" x14ac:dyDescent="0.15"/>
    <row r="50" spans="1:13" hidden="1" x14ac:dyDescent="0.15"/>
    <row r="51" spans="1:13" hidden="1" x14ac:dyDescent="0.15"/>
    <row r="52" spans="1:13" hidden="1" x14ac:dyDescent="0.15"/>
    <row r="53" spans="1:13" hidden="1" x14ac:dyDescent="0.15"/>
    <row r="54" spans="1:13" hidden="1" x14ac:dyDescent="0.15"/>
    <row r="55" spans="1:13" hidden="1" x14ac:dyDescent="0.15"/>
    <row r="56" spans="1:13" hidden="1" x14ac:dyDescent="0.15"/>
    <row r="57" spans="1:13" hidden="1" x14ac:dyDescent="0.15"/>
    <row r="58" spans="1:13" ht="8.25" customHeight="1" x14ac:dyDescent="0.15"/>
    <row r="59" spans="1:13" ht="17.25" customHeight="1" x14ac:dyDescent="0.15">
      <c r="A59" s="202"/>
      <c r="B59" s="202"/>
      <c r="C59" s="202"/>
      <c r="D59" s="202"/>
      <c r="E59" s="202"/>
      <c r="F59" s="202"/>
      <c r="G59" s="202"/>
      <c r="H59" s="202"/>
      <c r="I59" s="202"/>
      <c r="J59" s="202"/>
      <c r="K59" s="202"/>
      <c r="L59" s="202"/>
      <c r="M59" s="202"/>
    </row>
    <row r="60" spans="1:13" ht="15.75" customHeight="1" x14ac:dyDescent="0.15">
      <c r="A60" s="202"/>
      <c r="B60" s="202"/>
      <c r="C60" s="202"/>
      <c r="D60" s="202"/>
      <c r="E60" s="202"/>
      <c r="F60" s="202"/>
      <c r="G60" s="202"/>
      <c r="H60" s="202"/>
      <c r="I60" s="202"/>
      <c r="J60" s="202"/>
      <c r="K60" s="202"/>
      <c r="L60" s="202"/>
      <c r="M60" s="202"/>
    </row>
    <row r="61" spans="1:13" ht="24" customHeight="1" x14ac:dyDescent="0.15">
      <c r="A61" s="197" t="s">
        <v>184</v>
      </c>
      <c r="B61" s="197"/>
      <c r="C61" s="197"/>
      <c r="D61" s="197"/>
      <c r="E61" s="197"/>
      <c r="F61" s="197"/>
      <c r="G61" s="197"/>
    </row>
    <row r="62" spans="1:13" ht="22.5" customHeight="1" x14ac:dyDescent="0.15">
      <c r="A62" s="198" t="s">
        <v>38</v>
      </c>
      <c r="B62" s="33" t="s">
        <v>36</v>
      </c>
      <c r="C62" s="33" t="s">
        <v>37</v>
      </c>
      <c r="D62" s="33" t="s">
        <v>183</v>
      </c>
    </row>
    <row r="63" spans="1:13" ht="22.5" customHeight="1" x14ac:dyDescent="0.15">
      <c r="A63" s="199"/>
      <c r="B63" s="36" t="e">
        <f>#REF!</f>
        <v>#REF!</v>
      </c>
      <c r="C63" s="27" t="e">
        <f>spec!B57</f>
        <v>#REF!</v>
      </c>
      <c r="D63" s="27" t="e">
        <f>CHOOSE(C63,spec!I3,spec!I4,spec!I5,spec!I6,spec!I7,spec!I8,spec!I9,spec!I10)</f>
        <v>#REF!</v>
      </c>
    </row>
    <row r="64" spans="1:13" ht="24" customHeight="1" x14ac:dyDescent="0.15">
      <c r="A64" s="200" t="s">
        <v>24</v>
      </c>
      <c r="B64" s="59" t="s">
        <v>39</v>
      </c>
      <c r="C64" s="59" t="s">
        <v>41</v>
      </c>
    </row>
    <row r="65" spans="1:7" ht="21.75" customHeight="1" x14ac:dyDescent="0.15">
      <c r="A65" s="201"/>
      <c r="B65" s="69" t="e">
        <f>#REF!</f>
        <v>#REF!</v>
      </c>
      <c r="C65" s="60" t="e">
        <f>CHOOSE(C63,spec!C30,spec!C31,spec!C32,spec!C33,spec!C34,spec!C35,spec!C36,spec!C37)</f>
        <v>#REF!</v>
      </c>
    </row>
    <row r="66" spans="1:7" ht="21" customHeight="1" x14ac:dyDescent="0.15">
      <c r="A66" s="195" t="s">
        <v>180</v>
      </c>
      <c r="B66" s="67">
        <v>1</v>
      </c>
      <c r="C66" s="67">
        <v>2</v>
      </c>
      <c r="D66" s="67">
        <v>3</v>
      </c>
      <c r="E66" s="67">
        <v>4</v>
      </c>
      <c r="F66" s="67">
        <v>5</v>
      </c>
      <c r="G66" s="67">
        <v>6</v>
      </c>
    </row>
    <row r="67" spans="1:7" ht="22.5" customHeight="1" x14ac:dyDescent="0.15">
      <c r="A67" s="195"/>
      <c r="B67" s="27" t="e">
        <f>CHOOSE(C63,spec!B3,spec!B4,spec!B5,spec!B6,spec!B7,spec!B8,spec!B9,spec!B10)</f>
        <v>#REF!</v>
      </c>
      <c r="C67" s="27" t="e">
        <f>CHOOSE(C63,spec!C3,spec!C4,spec!C5,spec!C6,spec!C7,spec!C8,spec!C9,spec!C10)</f>
        <v>#REF!</v>
      </c>
      <c r="D67" s="27" t="e">
        <f>CHOOSE(C63,spec!D3,spec!D4,spec!D5,spec!D6,spec!D7,spec!D8,spec!D9,spec!D10)</f>
        <v>#REF!</v>
      </c>
      <c r="E67" s="27" t="e">
        <f>CHOOSE(C63,spec!E3,spec!E4,spec!E5,spec!E6,spec!E7,spec!E8,spec!E9,spec!E10)</f>
        <v>#REF!</v>
      </c>
      <c r="F67" s="27" t="e">
        <f>CHOOSE(C63,spec!F3,spec!F4,spec!F5,spec!F6,spec!F7,spec!F8,spec!F9,spec!F10)</f>
        <v>#REF!</v>
      </c>
      <c r="G67" s="27" t="e">
        <f>CHOOSE(C63,spec!G3,spec!G4,spec!G5,spec!G6,spec!G7,spec!G8,spec!G9,spec!G10)</f>
        <v>#REF!</v>
      </c>
    </row>
    <row r="68" spans="1:7" ht="20.25" customHeight="1" x14ac:dyDescent="0.15">
      <c r="A68" s="196" t="s">
        <v>15</v>
      </c>
      <c r="B68" s="80" t="s">
        <v>41</v>
      </c>
    </row>
    <row r="69" spans="1:7" ht="19.5" customHeight="1" x14ac:dyDescent="0.15">
      <c r="A69" s="196"/>
      <c r="B69" s="72" t="e">
        <f>CHOOSE(C63,spec!E30,spec!E31,spec!E32,spec!E33,spec!E34,spec!E35,spec!E36,spec!E37)</f>
        <v>#REF!</v>
      </c>
    </row>
    <row r="70" spans="1:7" ht="19.5" customHeight="1" x14ac:dyDescent="0.15">
      <c r="A70" s="59" t="s">
        <v>181</v>
      </c>
      <c r="B70" s="27" t="e">
        <f>#REF!</f>
        <v>#REF!</v>
      </c>
    </row>
    <row r="71" spans="1:7" ht="19.5" customHeight="1" x14ac:dyDescent="0.15">
      <c r="A71" s="117" t="s">
        <v>171</v>
      </c>
      <c r="B71" s="27" t="e">
        <f>#REF!</f>
        <v>#REF!</v>
      </c>
    </row>
    <row r="72" spans="1:7" ht="20.25" customHeight="1" x14ac:dyDescent="0.15">
      <c r="A72" s="118" t="s">
        <v>172</v>
      </c>
      <c r="B72" s="27" t="e">
        <f>#REF!*#REF!</f>
        <v>#REF!</v>
      </c>
    </row>
  </sheetData>
  <sheetProtection algorithmName="SHA-512" hashValue="lanIKymEst75KzZG2vh0+k8KgcJ9zuCXGxHgE3VwBiM281Rf7CyEoN3YY9OTJm61NAG9ngP4SjPSpeZyRd+/DQ==" saltValue="XkXM9VQlTW8G6t5RM8t5Tg==" spinCount="100000" sheet="1" objects="1" scenarios="1"/>
  <mergeCells count="17">
    <mergeCell ref="A66:A67"/>
    <mergeCell ref="A68:A69"/>
    <mergeCell ref="A29:M30"/>
    <mergeCell ref="A59:M60"/>
    <mergeCell ref="A34:A35"/>
    <mergeCell ref="A36:A37"/>
    <mergeCell ref="A38:A39"/>
    <mergeCell ref="A61:G61"/>
    <mergeCell ref="A62:A63"/>
    <mergeCell ref="A64:A65"/>
    <mergeCell ref="A6:A7"/>
    <mergeCell ref="A8:A9"/>
    <mergeCell ref="A1:G1"/>
    <mergeCell ref="A31:G31"/>
    <mergeCell ref="A32:A33"/>
    <mergeCell ref="A2:A3"/>
    <mergeCell ref="A4:A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70C0"/>
  </sheetPr>
  <dimension ref="A1:J86"/>
  <sheetViews>
    <sheetView workbookViewId="0">
      <selection activeCell="F13" sqref="F13"/>
    </sheetView>
  </sheetViews>
  <sheetFormatPr defaultRowHeight="13.5" x14ac:dyDescent="0.15"/>
  <cols>
    <col min="1" max="1" width="14" customWidth="1"/>
    <col min="2" max="2" width="16.75" customWidth="1"/>
    <col min="3" max="3" width="17.75" customWidth="1"/>
    <col min="4" max="4" width="17.5" customWidth="1"/>
    <col min="5" max="5" width="18.625" customWidth="1"/>
    <col min="6" max="6" width="18.75" customWidth="1"/>
    <col min="7" max="7" width="19.75" customWidth="1"/>
    <col min="8" max="8" width="20.5" customWidth="1"/>
    <col min="9" max="9" width="19.125" customWidth="1"/>
    <col min="10" max="10" width="15.75" customWidth="1"/>
  </cols>
  <sheetData>
    <row r="1" spans="1:10" ht="25.5" customHeight="1" x14ac:dyDescent="0.15">
      <c r="A1" s="208" t="s">
        <v>197</v>
      </c>
      <c r="B1" s="209"/>
      <c r="C1" s="209"/>
      <c r="D1" s="209"/>
      <c r="E1" s="209"/>
      <c r="F1" s="209"/>
      <c r="G1" s="209"/>
      <c r="H1" s="209"/>
      <c r="I1" s="209"/>
    </row>
    <row r="2" spans="1:10" ht="26.25" customHeight="1" x14ac:dyDescent="0.15">
      <c r="A2" s="65" t="s">
        <v>7</v>
      </c>
      <c r="B2" s="65" t="s">
        <v>152</v>
      </c>
      <c r="C2" s="65" t="s">
        <v>8</v>
      </c>
      <c r="D2" s="65" t="s">
        <v>34</v>
      </c>
      <c r="E2" s="65" t="s">
        <v>33</v>
      </c>
      <c r="F2" s="66" t="s">
        <v>8</v>
      </c>
      <c r="G2" s="65" t="s">
        <v>185</v>
      </c>
      <c r="H2" s="65" t="s">
        <v>185</v>
      </c>
      <c r="I2" s="128" t="s">
        <v>199</v>
      </c>
      <c r="J2" s="128" t="s">
        <v>66</v>
      </c>
    </row>
    <row r="3" spans="1:10" ht="20.25" customHeight="1" x14ac:dyDescent="0.15">
      <c r="A3" s="30" t="s">
        <v>82</v>
      </c>
      <c r="B3" s="170">
        <v>384000000</v>
      </c>
      <c r="C3" s="162"/>
      <c r="D3" s="162"/>
      <c r="E3" s="162"/>
      <c r="F3" s="162"/>
      <c r="G3" s="173"/>
      <c r="H3" s="174"/>
      <c r="I3" s="170">
        <v>384000000</v>
      </c>
      <c r="J3" s="30" t="s">
        <v>82</v>
      </c>
    </row>
    <row r="4" spans="1:10" ht="19.5" customHeight="1" x14ac:dyDescent="0.15">
      <c r="A4" s="30" t="s">
        <v>81</v>
      </c>
      <c r="B4" s="170">
        <v>384000000</v>
      </c>
      <c r="C4" s="162"/>
      <c r="D4" s="162"/>
      <c r="E4" s="162"/>
      <c r="F4" s="162"/>
      <c r="G4" s="174"/>
      <c r="H4" s="174"/>
      <c r="I4" s="170">
        <v>384000000</v>
      </c>
      <c r="J4" s="30" t="s">
        <v>81</v>
      </c>
    </row>
    <row r="5" spans="1:10" ht="20.25" customHeight="1" x14ac:dyDescent="0.15">
      <c r="A5" s="30" t="s">
        <v>75</v>
      </c>
      <c r="B5" s="170">
        <v>384000000</v>
      </c>
      <c r="C5" s="162"/>
      <c r="D5" s="162"/>
      <c r="E5" s="162"/>
      <c r="F5" s="162"/>
      <c r="G5" s="174"/>
      <c r="H5" s="174"/>
      <c r="I5" s="170">
        <v>384000000</v>
      </c>
      <c r="J5" s="30" t="s">
        <v>75</v>
      </c>
    </row>
    <row r="6" spans="1:10" ht="20.25" customHeight="1" x14ac:dyDescent="0.15">
      <c r="A6" s="30" t="s">
        <v>76</v>
      </c>
      <c r="B6" s="170">
        <v>128000000</v>
      </c>
      <c r="C6" s="162">
        <v>153600000</v>
      </c>
      <c r="D6" s="162">
        <v>192000000</v>
      </c>
      <c r="E6" s="162">
        <v>256000000</v>
      </c>
      <c r="F6" s="162"/>
      <c r="G6" s="174"/>
      <c r="H6" s="174"/>
      <c r="I6" s="170">
        <v>128000000</v>
      </c>
      <c r="J6" s="30" t="s">
        <v>76</v>
      </c>
    </row>
    <row r="7" spans="1:10" ht="20.25" customHeight="1" x14ac:dyDescent="0.15">
      <c r="A7" s="30" t="s">
        <v>77</v>
      </c>
      <c r="B7" s="170">
        <v>128000000</v>
      </c>
      <c r="C7" s="162">
        <v>153600000</v>
      </c>
      <c r="D7" s="162">
        <v>192000000</v>
      </c>
      <c r="E7" s="162">
        <v>256000000</v>
      </c>
      <c r="F7" s="162"/>
      <c r="G7" s="174"/>
      <c r="H7" s="174"/>
      <c r="I7" s="170">
        <v>153600000</v>
      </c>
      <c r="J7" s="30" t="s">
        <v>77</v>
      </c>
    </row>
    <row r="8" spans="1:10" ht="19.5" customHeight="1" x14ac:dyDescent="0.15">
      <c r="A8" s="30" t="s">
        <v>78</v>
      </c>
      <c r="B8" s="170">
        <v>96000000</v>
      </c>
      <c r="C8" s="162">
        <v>100000000</v>
      </c>
      <c r="D8" s="162">
        <v>128000000</v>
      </c>
      <c r="E8" s="162">
        <v>153600000</v>
      </c>
      <c r="F8" s="162">
        <v>192000000</v>
      </c>
      <c r="G8" s="174"/>
      <c r="H8" s="174"/>
      <c r="I8" s="170">
        <v>128000000</v>
      </c>
      <c r="J8" s="30" t="s">
        <v>78</v>
      </c>
    </row>
    <row r="9" spans="1:10" ht="19.5" customHeight="1" x14ac:dyDescent="0.15">
      <c r="A9" s="30" t="s">
        <v>79</v>
      </c>
      <c r="B9" s="170">
        <v>96000000</v>
      </c>
      <c r="C9" s="162">
        <v>128000000</v>
      </c>
      <c r="D9" s="162">
        <v>153600000</v>
      </c>
      <c r="E9" s="162"/>
      <c r="F9" s="162"/>
      <c r="G9" s="174"/>
      <c r="H9" s="174"/>
      <c r="I9" s="170">
        <v>128000000</v>
      </c>
      <c r="J9" s="30" t="s">
        <v>79</v>
      </c>
    </row>
    <row r="10" spans="1:10" ht="20.25" customHeight="1" x14ac:dyDescent="0.15">
      <c r="A10" s="30" t="s">
        <v>80</v>
      </c>
      <c r="B10" s="170">
        <v>128000000</v>
      </c>
      <c r="C10" s="162">
        <v>153600000</v>
      </c>
      <c r="D10" s="162">
        <v>192000000</v>
      </c>
      <c r="E10" s="162"/>
      <c r="F10" s="162"/>
      <c r="G10" s="174"/>
      <c r="H10" s="174"/>
      <c r="I10" s="170">
        <v>153600000</v>
      </c>
      <c r="J10" s="30" t="s">
        <v>80</v>
      </c>
    </row>
    <row r="11" spans="1:10" ht="17.25" customHeight="1" x14ac:dyDescent="0.15">
      <c r="A11" s="120" t="s">
        <v>226</v>
      </c>
      <c r="B11" s="172">
        <v>96000000</v>
      </c>
      <c r="C11" s="163">
        <v>128000000</v>
      </c>
      <c r="D11" s="163">
        <v>153600000</v>
      </c>
      <c r="E11" s="163"/>
      <c r="F11" s="163"/>
      <c r="G11" s="163"/>
      <c r="H11" s="163"/>
      <c r="I11" s="171">
        <v>153600000</v>
      </c>
      <c r="J11" s="120" t="s">
        <v>233</v>
      </c>
    </row>
    <row r="12" spans="1:10" ht="21" customHeight="1" x14ac:dyDescent="0.15">
      <c r="A12" s="120" t="s">
        <v>228</v>
      </c>
      <c r="B12" s="172">
        <v>96000000</v>
      </c>
      <c r="C12" s="163">
        <v>128000000</v>
      </c>
      <c r="D12" s="163">
        <v>153600000</v>
      </c>
      <c r="E12" s="163">
        <v>192000000</v>
      </c>
      <c r="F12" s="163"/>
      <c r="G12" s="163"/>
      <c r="H12" s="163"/>
      <c r="I12" s="171"/>
      <c r="J12" s="120" t="s">
        <v>229</v>
      </c>
    </row>
    <row r="13" spans="1:10" ht="21" customHeight="1" x14ac:dyDescent="0.15">
      <c r="A13" s="120" t="s">
        <v>245</v>
      </c>
      <c r="B13" s="172">
        <v>128000000</v>
      </c>
      <c r="C13" s="163">
        <v>153600000</v>
      </c>
      <c r="D13" s="163">
        <v>192000000</v>
      </c>
      <c r="E13" s="163">
        <v>307200000</v>
      </c>
      <c r="F13" s="163"/>
      <c r="G13" s="163"/>
      <c r="H13" s="163"/>
      <c r="I13" s="171"/>
      <c r="J13" s="120" t="s">
        <v>244</v>
      </c>
    </row>
    <row r="14" spans="1:10" ht="20.25" customHeight="1" x14ac:dyDescent="0.15">
      <c r="A14" s="120"/>
      <c r="B14" s="172"/>
      <c r="C14" s="163"/>
      <c r="D14" s="163"/>
      <c r="E14" s="163"/>
      <c r="F14" s="163"/>
      <c r="G14" s="163"/>
      <c r="H14" s="163"/>
      <c r="I14" s="172"/>
      <c r="J14" s="120"/>
    </row>
    <row r="15" spans="1:10" ht="21" customHeight="1" x14ac:dyDescent="0.15">
      <c r="A15" s="120"/>
      <c r="B15" s="172"/>
      <c r="C15" s="163"/>
      <c r="D15" s="163"/>
      <c r="E15" s="163"/>
      <c r="F15" s="163"/>
      <c r="G15" s="163"/>
      <c r="H15" s="163"/>
      <c r="I15" s="172"/>
      <c r="J15" s="120"/>
    </row>
    <row r="16" spans="1:10" ht="21" customHeight="1" x14ac:dyDescent="0.15">
      <c r="A16" s="120"/>
      <c r="B16" s="172"/>
      <c r="C16" s="163"/>
      <c r="D16" s="163"/>
      <c r="E16" s="163"/>
      <c r="F16" s="163"/>
      <c r="G16" s="163"/>
      <c r="H16" s="163"/>
      <c r="I16" s="172"/>
      <c r="J16" s="120"/>
    </row>
    <row r="17" spans="1:10" ht="21" customHeight="1" x14ac:dyDescent="0.15">
      <c r="A17" s="120"/>
      <c r="B17" s="172"/>
      <c r="C17" s="163"/>
      <c r="D17" s="163"/>
      <c r="E17" s="163"/>
      <c r="F17" s="163"/>
      <c r="G17" s="163"/>
      <c r="H17" s="163"/>
      <c r="I17" s="172"/>
      <c r="J17" s="120"/>
    </row>
    <row r="18" spans="1:10" ht="21" customHeight="1" x14ac:dyDescent="0.15">
      <c r="A18" s="120"/>
      <c r="B18" s="172"/>
      <c r="C18" s="163"/>
      <c r="D18" s="163"/>
      <c r="E18" s="163"/>
      <c r="F18" s="163"/>
      <c r="G18" s="163"/>
      <c r="H18" s="163"/>
      <c r="I18" s="172"/>
      <c r="J18" s="120"/>
    </row>
    <row r="19" spans="1:10" ht="21" customHeight="1" x14ac:dyDescent="0.15">
      <c r="A19" s="120"/>
      <c r="B19" s="172"/>
      <c r="C19" s="163"/>
      <c r="D19" s="163"/>
      <c r="E19" s="163"/>
      <c r="F19" s="163"/>
      <c r="G19" s="163"/>
      <c r="H19" s="163"/>
      <c r="I19" s="172"/>
      <c r="J19" s="120"/>
    </row>
    <row r="20" spans="1:10" ht="21" customHeight="1" x14ac:dyDescent="0.15">
      <c r="A20" s="120"/>
      <c r="B20" s="172"/>
      <c r="C20" s="163"/>
      <c r="D20" s="163"/>
      <c r="E20" s="163"/>
      <c r="F20" s="163"/>
      <c r="G20" s="163"/>
      <c r="H20" s="163"/>
      <c r="I20" s="172"/>
      <c r="J20" s="120"/>
    </row>
    <row r="21" spans="1:10" ht="21" customHeight="1" x14ac:dyDescent="0.15">
      <c r="A21" s="120"/>
      <c r="B21" s="172"/>
      <c r="C21" s="163"/>
      <c r="D21" s="163"/>
      <c r="E21" s="163"/>
      <c r="F21" s="163"/>
      <c r="G21" s="163"/>
      <c r="H21" s="163"/>
      <c r="I21" s="172"/>
      <c r="J21" s="120"/>
    </row>
    <row r="22" spans="1:10" ht="21" customHeight="1" x14ac:dyDescent="0.15">
      <c r="A22" s="120"/>
      <c r="B22" s="172"/>
      <c r="C22" s="163"/>
      <c r="D22" s="163"/>
      <c r="E22" s="163"/>
      <c r="F22" s="163"/>
      <c r="G22" s="163"/>
      <c r="H22" s="163"/>
      <c r="I22" s="172"/>
      <c r="J22" s="120"/>
    </row>
    <row r="23" spans="1:10" ht="21" customHeight="1" x14ac:dyDescent="0.15">
      <c r="A23" s="120"/>
      <c r="B23" s="172"/>
      <c r="C23" s="163"/>
      <c r="D23" s="163"/>
      <c r="E23" s="163"/>
      <c r="F23" s="163"/>
      <c r="G23" s="163"/>
      <c r="H23" s="163"/>
      <c r="I23" s="172"/>
      <c r="J23" s="120"/>
    </row>
    <row r="24" spans="1:10" ht="21" customHeight="1" x14ac:dyDescent="0.15">
      <c r="A24" s="120"/>
      <c r="B24" s="172"/>
      <c r="C24" s="163"/>
      <c r="D24" s="163"/>
      <c r="E24" s="163"/>
      <c r="F24" s="163"/>
      <c r="G24" s="163"/>
      <c r="H24" s="163"/>
      <c r="I24" s="172"/>
      <c r="J24" s="120"/>
    </row>
    <row r="25" spans="1:10" ht="21" customHeight="1" x14ac:dyDescent="0.15">
      <c r="A25" s="120"/>
      <c r="B25" s="172"/>
      <c r="C25" s="163"/>
      <c r="D25" s="163"/>
      <c r="E25" s="163"/>
      <c r="F25" s="163"/>
      <c r="G25" s="163"/>
      <c r="H25" s="163"/>
      <c r="I25" s="172"/>
      <c r="J25" s="120"/>
    </row>
    <row r="26" spans="1:10" ht="20.25" customHeight="1" x14ac:dyDescent="0.15">
      <c r="A26" s="20"/>
      <c r="B26" s="20"/>
      <c r="C26" s="20"/>
      <c r="D26" s="20"/>
      <c r="E26" s="20"/>
      <c r="F26" s="20"/>
      <c r="G26" s="20"/>
    </row>
    <row r="27" spans="1:10" ht="18" customHeight="1" x14ac:dyDescent="0.15"/>
    <row r="28" spans="1:10" ht="21" customHeight="1" x14ac:dyDescent="0.15">
      <c r="A28" s="209" t="s">
        <v>198</v>
      </c>
      <c r="B28" s="209"/>
      <c r="C28" s="209"/>
      <c r="D28" s="209"/>
      <c r="E28" s="209"/>
      <c r="F28" s="209"/>
      <c r="G28" s="209"/>
      <c r="H28" s="209"/>
    </row>
    <row r="29" spans="1:10" ht="21" customHeight="1" x14ac:dyDescent="0.15">
      <c r="A29" s="210" t="s">
        <v>7</v>
      </c>
      <c r="B29" s="211"/>
      <c r="C29" s="210" t="s">
        <v>24</v>
      </c>
      <c r="D29" s="211"/>
      <c r="E29" s="210" t="s">
        <v>14</v>
      </c>
      <c r="F29" s="211"/>
      <c r="G29" s="212" t="s">
        <v>25</v>
      </c>
      <c r="H29" s="212"/>
      <c r="I29" s="214" t="s">
        <v>218</v>
      </c>
      <c r="J29" s="215"/>
    </row>
    <row r="30" spans="1:10" ht="18.75" customHeight="1" x14ac:dyDescent="0.15">
      <c r="A30" s="30" t="s">
        <v>82</v>
      </c>
      <c r="B30" s="31">
        <v>1</v>
      </c>
      <c r="C30" s="31">
        <v>4</v>
      </c>
      <c r="D30" s="31">
        <v>4</v>
      </c>
      <c r="E30" s="31">
        <v>1000</v>
      </c>
      <c r="F30" s="164" t="s">
        <v>35</v>
      </c>
      <c r="G30" s="164" t="s">
        <v>27</v>
      </c>
      <c r="H30" s="165"/>
      <c r="I30" s="203"/>
      <c r="J30" s="204"/>
    </row>
    <row r="31" spans="1:10" ht="21.75" customHeight="1" x14ac:dyDescent="0.15">
      <c r="A31" s="30" t="s">
        <v>81</v>
      </c>
      <c r="B31" s="31">
        <v>2</v>
      </c>
      <c r="C31" s="31">
        <v>2</v>
      </c>
      <c r="D31" s="31">
        <v>2</v>
      </c>
      <c r="E31" s="31">
        <v>1000</v>
      </c>
      <c r="F31" s="164" t="s">
        <v>26</v>
      </c>
      <c r="G31" s="164" t="s">
        <v>28</v>
      </c>
      <c r="H31" s="165"/>
      <c r="I31" s="203"/>
      <c r="J31" s="204"/>
    </row>
    <row r="32" spans="1:10" ht="23.25" customHeight="1" x14ac:dyDescent="0.15">
      <c r="A32" s="30" t="s">
        <v>75</v>
      </c>
      <c r="B32" s="31">
        <v>3</v>
      </c>
      <c r="C32" s="31">
        <v>4</v>
      </c>
      <c r="D32" s="31">
        <v>4</v>
      </c>
      <c r="E32" s="31">
        <v>1000</v>
      </c>
      <c r="F32" s="164" t="s">
        <v>26</v>
      </c>
      <c r="G32" s="164" t="s">
        <v>27</v>
      </c>
      <c r="H32" s="165"/>
      <c r="I32" s="203"/>
      <c r="J32" s="204"/>
    </row>
    <row r="33" spans="1:10" ht="20.25" customHeight="1" x14ac:dyDescent="0.15">
      <c r="A33" s="30" t="s">
        <v>76</v>
      </c>
      <c r="B33" s="31">
        <v>4</v>
      </c>
      <c r="C33" s="31">
        <v>4</v>
      </c>
      <c r="D33" s="31">
        <v>4</v>
      </c>
      <c r="E33" s="31">
        <v>1500</v>
      </c>
      <c r="F33" s="164" t="s">
        <v>29</v>
      </c>
      <c r="G33" s="164" t="s">
        <v>201</v>
      </c>
      <c r="H33" s="165" t="s">
        <v>202</v>
      </c>
      <c r="I33" s="203"/>
      <c r="J33" s="204"/>
    </row>
    <row r="34" spans="1:10" ht="21" customHeight="1" x14ac:dyDescent="0.15">
      <c r="A34" s="30" t="s">
        <v>77</v>
      </c>
      <c r="B34" s="31">
        <v>5</v>
      </c>
      <c r="C34" s="31">
        <v>4</v>
      </c>
      <c r="D34" s="31" t="s">
        <v>30</v>
      </c>
      <c r="E34" s="31">
        <v>1500</v>
      </c>
      <c r="F34" s="164" t="s">
        <v>29</v>
      </c>
      <c r="G34" s="164" t="s">
        <v>31</v>
      </c>
      <c r="H34" s="165" t="s">
        <v>203</v>
      </c>
      <c r="I34" s="203"/>
      <c r="J34" s="204"/>
    </row>
    <row r="35" spans="1:10" ht="19.5" customHeight="1" x14ac:dyDescent="0.15">
      <c r="A35" s="30" t="s">
        <v>78</v>
      </c>
      <c r="B35" s="31">
        <v>6</v>
      </c>
      <c r="C35" s="31">
        <v>3</v>
      </c>
      <c r="D35" s="31">
        <v>3</v>
      </c>
      <c r="E35" s="31">
        <v>1500</v>
      </c>
      <c r="F35" s="164" t="s">
        <v>29</v>
      </c>
      <c r="G35" s="164" t="s">
        <v>201</v>
      </c>
      <c r="H35" s="165" t="s">
        <v>202</v>
      </c>
      <c r="I35" s="203"/>
      <c r="J35" s="204"/>
    </row>
    <row r="36" spans="1:10" ht="21.75" customHeight="1" x14ac:dyDescent="0.15">
      <c r="A36" s="30" t="s">
        <v>79</v>
      </c>
      <c r="B36" s="31">
        <v>7</v>
      </c>
      <c r="C36" s="31">
        <v>4</v>
      </c>
      <c r="D36" s="31">
        <v>4</v>
      </c>
      <c r="E36" s="31">
        <v>1500</v>
      </c>
      <c r="F36" s="164" t="s">
        <v>29</v>
      </c>
      <c r="G36" s="164" t="s">
        <v>201</v>
      </c>
      <c r="H36" s="165" t="s">
        <v>207</v>
      </c>
      <c r="I36" s="203"/>
      <c r="J36" s="204"/>
    </row>
    <row r="37" spans="1:10" ht="21.75" customHeight="1" x14ac:dyDescent="0.15">
      <c r="A37" s="30" t="s">
        <v>80</v>
      </c>
      <c r="B37" s="31">
        <v>8</v>
      </c>
      <c r="C37" s="31">
        <v>4</v>
      </c>
      <c r="D37" s="31">
        <v>4</v>
      </c>
      <c r="E37" s="31">
        <v>1500</v>
      </c>
      <c r="F37" s="164" t="s">
        <v>29</v>
      </c>
      <c r="G37" s="164" t="s">
        <v>32</v>
      </c>
      <c r="H37" s="165" t="s">
        <v>203</v>
      </c>
      <c r="I37" s="213" t="s">
        <v>219</v>
      </c>
      <c r="J37" s="213"/>
    </row>
    <row r="38" spans="1:10" ht="21.75" customHeight="1" x14ac:dyDescent="0.15">
      <c r="A38" s="136" t="s">
        <v>227</v>
      </c>
      <c r="B38" s="135">
        <v>9</v>
      </c>
      <c r="C38" s="135">
        <v>4</v>
      </c>
      <c r="D38" s="135">
        <v>4</v>
      </c>
      <c r="E38" s="135">
        <v>1500</v>
      </c>
      <c r="F38" s="166"/>
      <c r="G38" s="166"/>
      <c r="H38" s="167"/>
      <c r="I38" s="203"/>
      <c r="J38" s="204"/>
    </row>
    <row r="39" spans="1:10" ht="21" customHeight="1" x14ac:dyDescent="0.15">
      <c r="A39" s="136" t="s">
        <v>228</v>
      </c>
      <c r="B39" s="135">
        <v>10</v>
      </c>
      <c r="C39" s="135">
        <v>4</v>
      </c>
      <c r="D39" s="135">
        <v>4</v>
      </c>
      <c r="E39" s="135">
        <v>1500</v>
      </c>
      <c r="F39" s="166"/>
      <c r="G39" s="166"/>
      <c r="H39" s="167"/>
      <c r="I39" s="203"/>
      <c r="J39" s="204"/>
    </row>
    <row r="40" spans="1:10" ht="21" customHeight="1" x14ac:dyDescent="0.15">
      <c r="A40" s="136" t="s">
        <v>245</v>
      </c>
      <c r="B40" s="135">
        <v>10</v>
      </c>
      <c r="C40" s="135">
        <v>4</v>
      </c>
      <c r="D40" s="135">
        <v>4</v>
      </c>
      <c r="E40" s="135">
        <v>1500</v>
      </c>
      <c r="F40" s="166"/>
      <c r="G40" s="166"/>
      <c r="H40" s="167"/>
      <c r="I40" s="203"/>
      <c r="J40" s="204"/>
    </row>
    <row r="41" spans="1:10" ht="21.75" customHeight="1" x14ac:dyDescent="0.15">
      <c r="A41" s="137"/>
      <c r="B41" s="135"/>
      <c r="C41" s="135"/>
      <c r="D41" s="135"/>
      <c r="E41" s="135"/>
      <c r="F41" s="166"/>
      <c r="G41" s="166"/>
      <c r="H41" s="167"/>
      <c r="I41" s="203"/>
      <c r="J41" s="204"/>
    </row>
    <row r="42" spans="1:10" ht="21.75" customHeight="1" x14ac:dyDescent="0.15">
      <c r="A42" s="137"/>
      <c r="B42" s="135"/>
      <c r="C42" s="135"/>
      <c r="D42" s="135"/>
      <c r="E42" s="135"/>
      <c r="F42" s="166"/>
      <c r="G42" s="166"/>
      <c r="H42" s="167"/>
      <c r="I42" s="203"/>
      <c r="J42" s="204"/>
    </row>
    <row r="43" spans="1:10" ht="21.75" customHeight="1" x14ac:dyDescent="0.15">
      <c r="A43" s="137"/>
      <c r="B43" s="135"/>
      <c r="C43" s="135"/>
      <c r="D43" s="135"/>
      <c r="E43" s="135"/>
      <c r="F43" s="166"/>
      <c r="G43" s="166"/>
      <c r="H43" s="167"/>
      <c r="I43" s="203"/>
      <c r="J43" s="204"/>
    </row>
    <row r="44" spans="1:10" ht="21.75" customHeight="1" x14ac:dyDescent="0.15">
      <c r="A44" s="137"/>
      <c r="B44" s="135"/>
      <c r="C44" s="135"/>
      <c r="D44" s="135"/>
      <c r="E44" s="135"/>
      <c r="F44" s="166"/>
      <c r="G44" s="166"/>
      <c r="H44" s="167"/>
      <c r="I44" s="203"/>
      <c r="J44" s="204"/>
    </row>
    <row r="45" spans="1:10" ht="21.75" customHeight="1" x14ac:dyDescent="0.15">
      <c r="A45" s="137"/>
      <c r="B45" s="135"/>
      <c r="C45" s="135"/>
      <c r="D45" s="135"/>
      <c r="E45" s="135"/>
      <c r="F45" s="166"/>
      <c r="G45" s="166"/>
      <c r="H45" s="167"/>
      <c r="I45" s="203"/>
      <c r="J45" s="204"/>
    </row>
    <row r="46" spans="1:10" ht="21.75" customHeight="1" x14ac:dyDescent="0.15">
      <c r="A46" s="137"/>
      <c r="B46" s="135"/>
      <c r="C46" s="135"/>
      <c r="D46" s="135"/>
      <c r="E46" s="135"/>
      <c r="F46" s="166"/>
      <c r="G46" s="166"/>
      <c r="H46" s="167"/>
      <c r="I46" s="203"/>
      <c r="J46" s="204"/>
    </row>
    <row r="47" spans="1:10" ht="21.75" customHeight="1" x14ac:dyDescent="0.15">
      <c r="A47" s="137"/>
      <c r="B47" s="135"/>
      <c r="C47" s="135"/>
      <c r="D47" s="135"/>
      <c r="E47" s="135"/>
      <c r="F47" s="166"/>
      <c r="G47" s="166"/>
      <c r="H47" s="167"/>
      <c r="I47" s="203"/>
      <c r="J47" s="204"/>
    </row>
    <row r="48" spans="1:10" ht="21.75" customHeight="1" x14ac:dyDescent="0.15">
      <c r="A48" s="137"/>
      <c r="B48" s="135"/>
      <c r="C48" s="135"/>
      <c r="D48" s="135"/>
      <c r="E48" s="135"/>
      <c r="F48" s="166"/>
      <c r="G48" s="166"/>
      <c r="H48" s="167"/>
      <c r="I48" s="203"/>
      <c r="J48" s="204"/>
    </row>
    <row r="49" spans="1:10" ht="21" customHeight="1" x14ac:dyDescent="0.15">
      <c r="A49" s="137"/>
      <c r="B49" s="135"/>
      <c r="C49" s="135"/>
      <c r="D49" s="135"/>
      <c r="E49" s="135"/>
      <c r="F49" s="166"/>
      <c r="G49" s="166"/>
      <c r="H49" s="167"/>
      <c r="I49" s="203"/>
      <c r="J49" s="204"/>
    </row>
    <row r="50" spans="1:10" ht="21.75" customHeight="1" x14ac:dyDescent="0.15">
      <c r="A50" s="137"/>
      <c r="B50" s="135"/>
      <c r="C50" s="135"/>
      <c r="D50" s="135"/>
      <c r="E50" s="135"/>
      <c r="F50" s="166"/>
      <c r="G50" s="166"/>
      <c r="H50" s="167"/>
      <c r="I50" s="203"/>
      <c r="J50" s="204"/>
    </row>
    <row r="51" spans="1:10" ht="21.75" customHeight="1" x14ac:dyDescent="0.15">
      <c r="A51" s="137"/>
      <c r="B51" s="135"/>
      <c r="C51" s="135"/>
      <c r="D51" s="135"/>
      <c r="E51" s="135"/>
      <c r="F51" s="166"/>
      <c r="G51" s="166"/>
      <c r="H51" s="167"/>
      <c r="I51" s="203"/>
      <c r="J51" s="204"/>
    </row>
    <row r="52" spans="1:10" ht="21.75" customHeight="1" x14ac:dyDescent="0.15">
      <c r="A52" s="137"/>
      <c r="B52" s="135"/>
      <c r="C52" s="135"/>
      <c r="D52" s="135"/>
      <c r="E52" s="135"/>
      <c r="F52" s="166"/>
      <c r="G52" s="166"/>
      <c r="H52" s="167"/>
      <c r="I52" s="203"/>
      <c r="J52" s="204"/>
    </row>
    <row r="53" spans="1:10" ht="19.5" customHeight="1" x14ac:dyDescent="0.15"/>
    <row r="54" spans="1:10" ht="18" customHeight="1" x14ac:dyDescent="0.15"/>
    <row r="55" spans="1:10" ht="21" customHeight="1" x14ac:dyDescent="0.15">
      <c r="A55" s="207" t="s">
        <v>200</v>
      </c>
      <c r="B55" s="207"/>
      <c r="C55" s="207"/>
      <c r="D55" s="207"/>
      <c r="E55" s="207"/>
      <c r="F55" s="207"/>
      <c r="G55" s="207"/>
      <c r="H55" s="207"/>
    </row>
    <row r="56" spans="1:10" ht="19.5" customHeight="1" x14ac:dyDescent="0.15">
      <c r="A56" s="205" t="s">
        <v>170</v>
      </c>
      <c r="B56" s="206"/>
      <c r="D56" s="205" t="s">
        <v>239</v>
      </c>
      <c r="E56" s="206"/>
      <c r="G56" s="205" t="s">
        <v>240</v>
      </c>
      <c r="H56" s="206"/>
    </row>
    <row r="57" spans="1:10" ht="19.5" customHeight="1" x14ac:dyDescent="0.15">
      <c r="A57" s="77" t="e">
        <f>monitor!B63</f>
        <v>#REF!</v>
      </c>
      <c r="B57" s="77" t="e">
        <f>MAX(B58:B65)</f>
        <v>#REF!</v>
      </c>
      <c r="D57" s="76" t="str">
        <f>monitor!B33</f>
        <v>SC9853I</v>
      </c>
      <c r="E57" s="76">
        <f>MAX(E58:E65)</f>
        <v>5</v>
      </c>
      <c r="G57" s="76" t="str">
        <f>monitor!B3</f>
        <v>UMS512</v>
      </c>
      <c r="H57" s="76">
        <f>MAX(H58:H73)</f>
        <v>10</v>
      </c>
    </row>
    <row r="58" spans="1:10" ht="20.25" customHeight="1" x14ac:dyDescent="0.15">
      <c r="A58" s="74" t="s">
        <v>82</v>
      </c>
      <c r="B58" s="75" t="e">
        <f>IF(EXACT(A57,A58),1,0)</f>
        <v>#REF!</v>
      </c>
      <c r="D58" s="74" t="s">
        <v>82</v>
      </c>
      <c r="E58" s="75">
        <f>IF(EXACT(D57,D58),1,0)</f>
        <v>0</v>
      </c>
      <c r="G58" s="78" t="s">
        <v>82</v>
      </c>
      <c r="H58" s="161">
        <f>IF(EXACT(G57,G58),1,0)</f>
        <v>0</v>
      </c>
    </row>
    <row r="59" spans="1:10" ht="23.25" customHeight="1" x14ac:dyDescent="0.15">
      <c r="A59" s="30" t="s">
        <v>81</v>
      </c>
      <c r="B59" s="31" t="e">
        <f>IF(EXACT(A57,A59),2,0)</f>
        <v>#REF!</v>
      </c>
      <c r="D59" s="30" t="s">
        <v>81</v>
      </c>
      <c r="E59" s="31">
        <f>IF(EXACT(D57,D59),2,0)</f>
        <v>0</v>
      </c>
      <c r="G59" s="79" t="s">
        <v>81</v>
      </c>
      <c r="H59" s="121">
        <f>IF(EXACT(G57,G59),2,0)</f>
        <v>0</v>
      </c>
    </row>
    <row r="60" spans="1:10" ht="24" customHeight="1" x14ac:dyDescent="0.15">
      <c r="A60" s="30" t="s">
        <v>75</v>
      </c>
      <c r="B60" s="31" t="e">
        <f>IF(EXACT(A57,A60),3,0)</f>
        <v>#REF!</v>
      </c>
      <c r="D60" s="30" t="s">
        <v>75</v>
      </c>
      <c r="E60" s="31">
        <f>IF(EXACT(D57,D60),3,0)</f>
        <v>0</v>
      </c>
      <c r="G60" s="79" t="s">
        <v>75</v>
      </c>
      <c r="H60" s="121">
        <f>IF(EXACT(G57,G60),3,0)</f>
        <v>0</v>
      </c>
    </row>
    <row r="61" spans="1:10" ht="18.75" customHeight="1" x14ac:dyDescent="0.15">
      <c r="A61" s="30" t="s">
        <v>76</v>
      </c>
      <c r="B61" s="31" t="e">
        <f>IF(EXACT(A57,A61),4,0)</f>
        <v>#REF!</v>
      </c>
      <c r="D61" s="30" t="s">
        <v>76</v>
      </c>
      <c r="E61" s="31">
        <f>IF(EXACT(D57,D61),4,0)</f>
        <v>0</v>
      </c>
      <c r="G61" s="79" t="s">
        <v>76</v>
      </c>
      <c r="H61" s="121">
        <f>IF(EXACT(G57,G61),4,0)</f>
        <v>0</v>
      </c>
    </row>
    <row r="62" spans="1:10" ht="21" customHeight="1" x14ac:dyDescent="0.15">
      <c r="A62" s="30" t="s">
        <v>77</v>
      </c>
      <c r="B62" s="31" t="e">
        <f>IF(EXACT(A57,A62),5,0)</f>
        <v>#REF!</v>
      </c>
      <c r="D62" s="30" t="s">
        <v>77</v>
      </c>
      <c r="E62" s="31">
        <f>IF(EXACT(D57,D62),5,0)</f>
        <v>5</v>
      </c>
      <c r="G62" s="79" t="s">
        <v>77</v>
      </c>
      <c r="H62" s="121">
        <f>IF(EXACT(G57,G62),5,0)</f>
        <v>0</v>
      </c>
    </row>
    <row r="63" spans="1:10" ht="21.75" customHeight="1" x14ac:dyDescent="0.15">
      <c r="A63" s="79" t="s">
        <v>78</v>
      </c>
      <c r="B63" s="31" t="e">
        <f>IF(EXACT(A57,A63),6,0)</f>
        <v>#REF!</v>
      </c>
      <c r="D63" s="30" t="s">
        <v>79</v>
      </c>
      <c r="E63" s="31">
        <f>IF(EXACT(D57,D63),7,0)</f>
        <v>0</v>
      </c>
      <c r="G63" s="127" t="s">
        <v>78</v>
      </c>
      <c r="H63" s="121">
        <f>IF(EXACT(G57,G63),6,0)</f>
        <v>0</v>
      </c>
    </row>
    <row r="64" spans="1:10" ht="22.5" customHeight="1" x14ac:dyDescent="0.15">
      <c r="A64" s="79" t="s">
        <v>79</v>
      </c>
      <c r="B64" s="31" t="e">
        <f>IF(EXACT(A57,A64),7,0)</f>
        <v>#REF!</v>
      </c>
      <c r="D64" s="79" t="s">
        <v>223</v>
      </c>
      <c r="E64" s="31">
        <f>IF(EXACT(D57,D64),6,0)</f>
        <v>0</v>
      </c>
      <c r="G64" s="127" t="s">
        <v>209</v>
      </c>
      <c r="H64" s="121">
        <f>IF(EXACT(G57,G64),7,0)</f>
        <v>0</v>
      </c>
    </row>
    <row r="65" spans="1:8" ht="22.5" customHeight="1" x14ac:dyDescent="0.15">
      <c r="A65" s="79" t="s">
        <v>80</v>
      </c>
      <c r="B65" s="31" t="e">
        <f>IF(EXACT(A57,A65),8,0)</f>
        <v>#REF!</v>
      </c>
      <c r="D65" s="79" t="s">
        <v>80</v>
      </c>
      <c r="E65" s="31">
        <f>IF(EXACT(D57,D65),8,0)</f>
        <v>0</v>
      </c>
      <c r="G65" s="127" t="s">
        <v>80</v>
      </c>
      <c r="H65" s="121">
        <f>IF(EXACT(G57,G65),8,0)</f>
        <v>0</v>
      </c>
    </row>
    <row r="66" spans="1:8" ht="21.75" customHeight="1" x14ac:dyDescent="0.15">
      <c r="G66" s="120" t="s">
        <v>226</v>
      </c>
      <c r="H66" s="121">
        <f>IF(EXACT(G57,G66),9,0)</f>
        <v>0</v>
      </c>
    </row>
    <row r="67" spans="1:8" ht="21.75" customHeight="1" x14ac:dyDescent="0.15">
      <c r="G67" s="120" t="s">
        <v>243</v>
      </c>
      <c r="H67" s="121">
        <f>IF(EXACT(G57,G67),10,0)</f>
        <v>10</v>
      </c>
    </row>
    <row r="68" spans="1:8" ht="21" customHeight="1" x14ac:dyDescent="0.15">
      <c r="G68" s="120" t="s">
        <v>246</v>
      </c>
      <c r="H68" s="121">
        <f>IF(EXACT(G57,G68),11,0)</f>
        <v>0</v>
      </c>
    </row>
    <row r="69" spans="1:8" ht="21.75" customHeight="1" x14ac:dyDescent="0.15">
      <c r="G69" s="120"/>
      <c r="H69" s="121">
        <f>IF(EXACT(G57,G69),12,0)</f>
        <v>0</v>
      </c>
    </row>
    <row r="70" spans="1:8" ht="21.75" customHeight="1" x14ac:dyDescent="0.15">
      <c r="G70" s="120"/>
      <c r="H70" s="121">
        <f>IF(EXACT(G57,G70),13,0)</f>
        <v>0</v>
      </c>
    </row>
    <row r="71" spans="1:8" ht="21.75" customHeight="1" x14ac:dyDescent="0.15">
      <c r="G71" s="120"/>
      <c r="H71" s="121">
        <f>IF(EXACT(G57,G71),14,0)</f>
        <v>0</v>
      </c>
    </row>
    <row r="72" spans="1:8" ht="22.5" customHeight="1" x14ac:dyDescent="0.15">
      <c r="G72" s="120"/>
      <c r="H72" s="121">
        <f>IF(EXACT(G57,G72),15,0)</f>
        <v>0</v>
      </c>
    </row>
    <row r="73" spans="1:8" ht="21" customHeight="1" x14ac:dyDescent="0.15">
      <c r="G73" s="120"/>
      <c r="H73" s="121">
        <f>IF(EXACT(G57,G73),16,0)</f>
        <v>0</v>
      </c>
    </row>
    <row r="74" spans="1:8" ht="24.75" customHeight="1" x14ac:dyDescent="0.15">
      <c r="G74" s="120"/>
      <c r="H74" s="121">
        <f>IF(EXACT(G57,G74),17,0)</f>
        <v>0</v>
      </c>
    </row>
    <row r="75" spans="1:8" ht="22.5" customHeight="1" x14ac:dyDescent="0.15">
      <c r="G75" s="120"/>
      <c r="H75" s="121">
        <f>IF(EXACT(G57,G75),18,0)</f>
        <v>0</v>
      </c>
    </row>
    <row r="76" spans="1:8" ht="20.25" customHeight="1" x14ac:dyDescent="0.15">
      <c r="G76" s="120"/>
      <c r="H76" s="121">
        <f>IF(EXACT(G57,G76),19,0)</f>
        <v>0</v>
      </c>
    </row>
    <row r="77" spans="1:8" ht="24" customHeight="1" x14ac:dyDescent="0.15">
      <c r="G77" s="120"/>
      <c r="H77" s="121">
        <f>IF(EXACT(G57,G77),20,0)</f>
        <v>0</v>
      </c>
    </row>
    <row r="78" spans="1:8" ht="23.25" customHeight="1" x14ac:dyDescent="0.15">
      <c r="G78" s="120"/>
      <c r="H78" s="121">
        <f>IF(EXACT(G57,G78),21,0)</f>
        <v>0</v>
      </c>
    </row>
    <row r="79" spans="1:8" ht="22.5" customHeight="1" x14ac:dyDescent="0.15">
      <c r="G79" s="120"/>
      <c r="H79" s="121">
        <f>IF(EXACT(G57,G79),22,0)</f>
        <v>0</v>
      </c>
    </row>
    <row r="80" spans="1:8" ht="20.25" customHeight="1" x14ac:dyDescent="0.15"/>
    <row r="81" ht="18.75" customHeight="1" x14ac:dyDescent="0.15"/>
    <row r="82" ht="21" customHeight="1" x14ac:dyDescent="0.15"/>
    <row r="83" ht="18" customHeight="1" x14ac:dyDescent="0.15"/>
    <row r="84" ht="21.75" customHeight="1" x14ac:dyDescent="0.15"/>
    <row r="85" ht="21" customHeight="1" x14ac:dyDescent="0.15"/>
    <row r="86" ht="20.25" customHeight="1" x14ac:dyDescent="0.15"/>
  </sheetData>
  <sheetProtection selectLockedCells="1"/>
  <mergeCells count="34">
    <mergeCell ref="G56:H56"/>
    <mergeCell ref="A55:H55"/>
    <mergeCell ref="A1:I1"/>
    <mergeCell ref="C29:D29"/>
    <mergeCell ref="E29:F29"/>
    <mergeCell ref="A29:B29"/>
    <mergeCell ref="A56:B56"/>
    <mergeCell ref="D56:E56"/>
    <mergeCell ref="G29:H29"/>
    <mergeCell ref="A28:H28"/>
    <mergeCell ref="I37:J37"/>
    <mergeCell ref="I29:J29"/>
    <mergeCell ref="I30:J30"/>
    <mergeCell ref="I31:J31"/>
    <mergeCell ref="I32:J32"/>
    <mergeCell ref="I33:J33"/>
    <mergeCell ref="I34:J34"/>
    <mergeCell ref="I35:J35"/>
    <mergeCell ref="I36:J36"/>
    <mergeCell ref="I38:J38"/>
    <mergeCell ref="I39:J39"/>
    <mergeCell ref="I40:J40"/>
    <mergeCell ref="I41:J41"/>
    <mergeCell ref="I42:J42"/>
    <mergeCell ref="I43:J43"/>
    <mergeCell ref="I44:J44"/>
    <mergeCell ref="I50:J50"/>
    <mergeCell ref="I51:J51"/>
    <mergeCell ref="I52:J52"/>
    <mergeCell ref="I45:J45"/>
    <mergeCell ref="I46:J46"/>
    <mergeCell ref="I47:J47"/>
    <mergeCell ref="I48:J48"/>
    <mergeCell ref="I49:J4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70C0"/>
  </sheetPr>
  <dimension ref="A1:AB91"/>
  <sheetViews>
    <sheetView workbookViewId="0">
      <selection activeCell="Q8" sqref="Q8"/>
    </sheetView>
  </sheetViews>
  <sheetFormatPr defaultRowHeight="13.5" x14ac:dyDescent="0.15"/>
  <cols>
    <col min="1" max="1" width="14.625" customWidth="1"/>
    <col min="2" max="2" width="12.5" customWidth="1"/>
    <col min="3" max="4" width="13.625" customWidth="1"/>
    <col min="5" max="5" width="11.75" customWidth="1"/>
    <col min="6" max="6" width="11.875" customWidth="1"/>
    <col min="7" max="7" width="11.125" customWidth="1"/>
    <col min="8" max="8" width="10.875" customWidth="1"/>
    <col min="9" max="9" width="12" customWidth="1"/>
    <col min="10" max="10" width="5.75" customWidth="1"/>
    <col min="12" max="12" width="14.25" customWidth="1"/>
    <col min="13" max="13" width="12.125" customWidth="1"/>
    <col min="17" max="17" width="13.625" customWidth="1"/>
  </cols>
  <sheetData>
    <row r="1" spans="1:17" x14ac:dyDescent="0.15">
      <c r="A1" s="222" t="s">
        <v>224</v>
      </c>
      <c r="B1" s="222"/>
      <c r="C1" s="222"/>
      <c r="D1" s="222"/>
      <c r="E1" s="222"/>
      <c r="F1" s="222"/>
      <c r="J1" s="43"/>
      <c r="K1" s="112">
        <v>1</v>
      </c>
      <c r="L1" s="42" t="s">
        <v>66</v>
      </c>
      <c r="M1" s="42" t="s">
        <v>235</v>
      </c>
      <c r="N1" s="42" t="s">
        <v>67</v>
      </c>
      <c r="O1" s="42" t="s">
        <v>68</v>
      </c>
      <c r="P1" s="42" t="s">
        <v>55</v>
      </c>
      <c r="Q1" s="42" t="s">
        <v>56</v>
      </c>
    </row>
    <row r="2" spans="1:17" x14ac:dyDescent="0.15">
      <c r="A2" s="198" t="s">
        <v>38</v>
      </c>
      <c r="B2" s="33" t="s">
        <v>36</v>
      </c>
      <c r="C2" s="33" t="s">
        <v>37</v>
      </c>
      <c r="D2" s="33" t="s">
        <v>74</v>
      </c>
      <c r="E2" s="33" t="s">
        <v>154</v>
      </c>
      <c r="F2" s="33" t="s">
        <v>161</v>
      </c>
      <c r="G2" s="33" t="s">
        <v>231</v>
      </c>
      <c r="J2" s="43"/>
      <c r="K2" s="27">
        <v>2</v>
      </c>
      <c r="L2" s="114" t="s">
        <v>167</v>
      </c>
      <c r="M2" s="157"/>
      <c r="N2" s="114">
        <f>MIN(N3:N10)</f>
        <v>5</v>
      </c>
      <c r="O2" s="114">
        <f>N2</f>
        <v>5</v>
      </c>
      <c r="P2" s="114" t="str">
        <f>IF((O2&lt;88),CHOOSE(O2,P3,P4,P7,P5,P6,P8),"Success")</f>
        <v>Warning</v>
      </c>
      <c r="Q2" s="169">
        <f>IF((O2&lt;88),CHOOSE(O2,Q3,Q4,Q7,Q8,,Q5,Q6),"")</f>
        <v>0</v>
      </c>
    </row>
    <row r="3" spans="1:17" x14ac:dyDescent="0.15">
      <c r="A3" s="199"/>
      <c r="B3" s="68" t="str">
        <f>monitor!B3</f>
        <v>UMS512</v>
      </c>
      <c r="C3" s="27">
        <f>monitor!C3</f>
        <v>10</v>
      </c>
      <c r="D3" s="27">
        <f>monitor!D3</f>
        <v>0</v>
      </c>
      <c r="E3" s="129" t="s">
        <v>208</v>
      </c>
      <c r="F3" s="175" t="s">
        <v>160</v>
      </c>
      <c r="G3" s="151" t="str">
        <f>monitor!I7</f>
        <v>UMS512_DPI</v>
      </c>
      <c r="J3" s="43"/>
      <c r="K3" s="159">
        <v>3</v>
      </c>
      <c r="L3" s="159" t="s">
        <v>70</v>
      </c>
      <c r="M3" s="159">
        <v>1</v>
      </c>
      <c r="N3" s="159">
        <f>IF((B5&gt;C5),O3,88)</f>
        <v>88</v>
      </c>
      <c r="O3" s="159">
        <v>1</v>
      </c>
      <c r="P3" s="159" t="s">
        <v>214</v>
      </c>
      <c r="Q3" s="168" t="s">
        <v>57</v>
      </c>
    </row>
    <row r="4" spans="1:17" x14ac:dyDescent="0.15">
      <c r="A4" s="200" t="s">
        <v>24</v>
      </c>
      <c r="B4" s="32" t="s">
        <v>39</v>
      </c>
      <c r="C4" s="32" t="s">
        <v>49</v>
      </c>
      <c r="J4" s="43"/>
      <c r="K4" s="27">
        <v>4</v>
      </c>
      <c r="L4" s="27" t="s">
        <v>69</v>
      </c>
      <c r="M4" s="27">
        <v>1</v>
      </c>
      <c r="N4" s="27">
        <f>IF((D13&gt;E13),O4,88)</f>
        <v>88</v>
      </c>
      <c r="O4" s="27">
        <v>2</v>
      </c>
      <c r="P4" s="27" t="s">
        <v>58</v>
      </c>
      <c r="Q4" s="160" t="s">
        <v>59</v>
      </c>
    </row>
    <row r="5" spans="1:17" x14ac:dyDescent="0.15">
      <c r="A5" s="201"/>
      <c r="B5" s="69">
        <f>monitor!B5</f>
        <v>4</v>
      </c>
      <c r="C5" s="27">
        <f>monitor!C5</f>
        <v>4</v>
      </c>
      <c r="J5" s="43"/>
      <c r="K5" s="159">
        <v>5</v>
      </c>
      <c r="L5" s="159" t="s">
        <v>150</v>
      </c>
      <c r="M5" s="159">
        <v>1</v>
      </c>
      <c r="N5" s="159">
        <f>IF(EXACT(F3,"auto"),IF((B10&lt;&gt;F10),O5,88),88)</f>
        <v>5</v>
      </c>
      <c r="O5" s="159">
        <v>5</v>
      </c>
      <c r="P5" s="159" t="s">
        <v>60</v>
      </c>
      <c r="Q5" s="168" t="s">
        <v>61</v>
      </c>
    </row>
    <row r="6" spans="1:17" x14ac:dyDescent="0.15">
      <c r="A6" s="39" t="s">
        <v>53</v>
      </c>
      <c r="B6" s="152">
        <f>monitor!B12</f>
        <v>2656800</v>
      </c>
      <c r="J6" s="43"/>
      <c r="K6" s="27">
        <v>6</v>
      </c>
      <c r="L6" s="27" t="s">
        <v>73</v>
      </c>
      <c r="M6" s="158">
        <v>0</v>
      </c>
      <c r="N6" s="27">
        <f>IF(EXACT(F3,"manual"),IF((B10&lt;&gt;D10),O6,88),88)</f>
        <v>88</v>
      </c>
      <c r="O6" s="27">
        <v>6</v>
      </c>
      <c r="P6" s="27" t="s">
        <v>60</v>
      </c>
      <c r="Q6" s="160" t="s">
        <v>62</v>
      </c>
    </row>
    <row r="7" spans="1:17" x14ac:dyDescent="0.15">
      <c r="A7" s="221" t="s">
        <v>45</v>
      </c>
      <c r="B7" s="34" t="s">
        <v>173</v>
      </c>
      <c r="C7" s="34" t="s">
        <v>46</v>
      </c>
      <c r="D7" s="223" t="s">
        <v>47</v>
      </c>
      <c r="E7" s="224"/>
      <c r="F7" s="38" t="s">
        <v>50</v>
      </c>
      <c r="G7" s="218" t="s">
        <v>48</v>
      </c>
      <c r="H7" s="218"/>
      <c r="J7" s="43"/>
      <c r="K7" s="159">
        <v>7</v>
      </c>
      <c r="L7" s="236" t="s">
        <v>210</v>
      </c>
      <c r="M7" s="159">
        <f>IF(EXACT(B3,"SC9863A"),1,IF(EXACT(B3,"UMS312"),1,88))</f>
        <v>88</v>
      </c>
      <c r="N7" s="159">
        <f>IF((M7=1),IF((D15=1),O7,88),88)</f>
        <v>88</v>
      </c>
      <c r="O7" s="159">
        <v>3</v>
      </c>
      <c r="P7" s="159" t="s">
        <v>236</v>
      </c>
      <c r="Q7" s="168" t="s">
        <v>242</v>
      </c>
    </row>
    <row r="8" spans="1:17" x14ac:dyDescent="0.15">
      <c r="A8" s="221"/>
      <c r="B8" s="72">
        <f>monitor!B10</f>
        <v>0</v>
      </c>
      <c r="C8" s="73">
        <f>B6*B10</f>
        <v>159408000</v>
      </c>
      <c r="D8" s="73">
        <f>B8/C8</f>
        <v>0</v>
      </c>
      <c r="E8" s="73">
        <f>INT(D8)</f>
        <v>0</v>
      </c>
      <c r="F8" s="73">
        <f>MIN((IF((B8-C8*E8)&gt;C8/2,E8+1,E8)),16)</f>
        <v>0</v>
      </c>
      <c r="G8" s="73" t="e">
        <f>B8/F8</f>
        <v>#DIV/0!</v>
      </c>
      <c r="H8" s="73" t="e">
        <f>INT(G8)</f>
        <v>#DIV/0!</v>
      </c>
      <c r="J8" s="43"/>
      <c r="K8" s="159">
        <v>8</v>
      </c>
      <c r="L8" s="237"/>
      <c r="M8" s="159">
        <f>IF(EXACT(B3,"SC7731E"),1,IF(EXACT(B3,"SC9832E"),1,88))</f>
        <v>88</v>
      </c>
      <c r="N8" s="159">
        <f>IF((M8=1),IF((C15=1),O8,88),88)</f>
        <v>88</v>
      </c>
      <c r="O8" s="159">
        <v>4</v>
      </c>
      <c r="P8" s="159" t="s">
        <v>237</v>
      </c>
      <c r="Q8" s="168" t="s">
        <v>238</v>
      </c>
    </row>
    <row r="9" spans="1:17" x14ac:dyDescent="0.15">
      <c r="A9" s="219" t="s">
        <v>51</v>
      </c>
      <c r="B9" s="29" t="s">
        <v>52</v>
      </c>
      <c r="C9" s="216" t="s">
        <v>162</v>
      </c>
      <c r="D9" s="217"/>
      <c r="E9" s="216" t="s">
        <v>220</v>
      </c>
      <c r="F9" s="235"/>
      <c r="G9" s="217"/>
      <c r="H9" s="20"/>
      <c r="J9" s="43"/>
      <c r="K9" s="113">
        <v>9</v>
      </c>
      <c r="L9" s="36"/>
      <c r="M9" s="27"/>
      <c r="N9" s="27">
        <v>88</v>
      </c>
      <c r="O9" s="27"/>
      <c r="P9" s="27"/>
      <c r="Q9" s="160"/>
    </row>
    <row r="10" spans="1:17" x14ac:dyDescent="0.15">
      <c r="A10" s="220"/>
      <c r="B10" s="72">
        <f>monitor!B11</f>
        <v>60</v>
      </c>
      <c r="C10" s="73" t="e">
        <f>H8/B6</f>
        <v>#DIV/0!</v>
      </c>
      <c r="D10" s="73">
        <f>ROUND(E10,0)</f>
        <v>58</v>
      </c>
      <c r="E10" s="73">
        <f>I21</f>
        <v>57.813911472448055</v>
      </c>
      <c r="F10" s="73">
        <f>ROUND(E10,0)</f>
        <v>58</v>
      </c>
      <c r="G10" s="20">
        <f>ROUND(E10,3)</f>
        <v>57.814</v>
      </c>
      <c r="H10" s="20"/>
      <c r="I10" s="20"/>
      <c r="J10" s="43"/>
      <c r="K10" s="113">
        <v>10</v>
      </c>
      <c r="L10" s="27"/>
      <c r="M10" s="27"/>
      <c r="N10" s="27">
        <v>88</v>
      </c>
      <c r="O10" s="27"/>
      <c r="P10" s="27"/>
      <c r="Q10" s="160"/>
    </row>
    <row r="11" spans="1:17" x14ac:dyDescent="0.15">
      <c r="A11" s="230" t="s">
        <v>40</v>
      </c>
      <c r="B11" s="35" t="s">
        <v>44</v>
      </c>
      <c r="C11" s="35" t="s">
        <v>42</v>
      </c>
      <c r="D11" s="35" t="s">
        <v>43</v>
      </c>
      <c r="E11" s="148" t="s">
        <v>221</v>
      </c>
      <c r="F11" s="35" t="s">
        <v>222</v>
      </c>
      <c r="G11" s="35" t="s">
        <v>161</v>
      </c>
      <c r="J11" s="43"/>
    </row>
    <row r="12" spans="1:17" x14ac:dyDescent="0.15">
      <c r="A12" s="231"/>
      <c r="B12" s="140" t="e">
        <f>INT(H8*3*8*1/B5/1000000)</f>
        <v>#DIV/0!</v>
      </c>
      <c r="C12" s="140" t="e">
        <f>INT(1.1*B12)</f>
        <v>#DIV/0!</v>
      </c>
      <c r="D12" s="144" t="e">
        <f>INT(1.2*B12)</f>
        <v>#DIV/0!</v>
      </c>
      <c r="E12" s="149">
        <v>300</v>
      </c>
      <c r="F12" s="146" t="e">
        <f>MAX(D12:E12)</f>
        <v>#DIV/0!</v>
      </c>
      <c r="G12" s="142" t="s">
        <v>157</v>
      </c>
      <c r="J12" s="43"/>
    </row>
    <row r="13" spans="1:17" x14ac:dyDescent="0.15">
      <c r="A13" s="232"/>
      <c r="B13" s="141">
        <f>INT(I20*3*8*1/B5/1000000)</f>
        <v>921</v>
      </c>
      <c r="C13" s="141">
        <f>INT(1.1*B13)</f>
        <v>1013</v>
      </c>
      <c r="D13" s="145">
        <f>INT(1.2*B13)</f>
        <v>1105</v>
      </c>
      <c r="E13" s="150">
        <f>monitor!B9</f>
        <v>1500</v>
      </c>
      <c r="F13" s="147">
        <f>MAX(D13,E12)</f>
        <v>1105</v>
      </c>
      <c r="G13" s="143" t="s">
        <v>163</v>
      </c>
      <c r="J13" s="43"/>
    </row>
    <row r="14" spans="1:17" x14ac:dyDescent="0.15">
      <c r="A14" s="233" t="s">
        <v>210</v>
      </c>
      <c r="B14" s="134" t="s">
        <v>211</v>
      </c>
      <c r="C14" s="238" t="s">
        <v>213</v>
      </c>
      <c r="D14" s="239"/>
      <c r="E14" s="131"/>
      <c r="F14" s="20"/>
      <c r="G14" s="132"/>
      <c r="J14" s="43"/>
    </row>
    <row r="15" spans="1:17" x14ac:dyDescent="0.15">
      <c r="A15" s="234"/>
      <c r="B15" s="64">
        <f>'lcd(mipi) main'!B6+'lcd(mipi) main'!B7</f>
        <v>0</v>
      </c>
      <c r="C15" s="64">
        <f>IF((B15&gt;16),88,1)</f>
        <v>1</v>
      </c>
      <c r="D15" s="64">
        <f>IF((B15&gt;32),88,1)</f>
        <v>1</v>
      </c>
      <c r="E15" s="131"/>
      <c r="F15" s="20"/>
      <c r="G15" s="132"/>
      <c r="J15" s="43"/>
    </row>
    <row r="16" spans="1:17" ht="18.75" customHeight="1" x14ac:dyDescent="0.15">
      <c r="A16" s="225" t="s">
        <v>54</v>
      </c>
      <c r="B16" s="63" t="s">
        <v>168</v>
      </c>
      <c r="C16" s="63" t="s">
        <v>64</v>
      </c>
      <c r="D16" s="63" t="s">
        <v>65</v>
      </c>
      <c r="J16" s="43"/>
    </row>
    <row r="17" spans="1:28" ht="18.75" customHeight="1" x14ac:dyDescent="0.15">
      <c r="A17" s="226"/>
      <c r="B17" s="60">
        <f>O2</f>
        <v>5</v>
      </c>
      <c r="C17" s="115" t="str">
        <f>P2</f>
        <v>Warning</v>
      </c>
      <c r="D17" s="60">
        <f>Q2</f>
        <v>0</v>
      </c>
      <c r="J17" s="43"/>
    </row>
    <row r="18" spans="1:28" ht="18.75" customHeight="1" x14ac:dyDescent="0.15">
      <c r="A18" s="227" t="s">
        <v>91</v>
      </c>
      <c r="B18" s="61">
        <v>1</v>
      </c>
      <c r="C18" s="61">
        <v>2</v>
      </c>
      <c r="D18" s="61">
        <v>3</v>
      </c>
      <c r="E18" s="61">
        <v>4</v>
      </c>
      <c r="F18" s="61">
        <v>5</v>
      </c>
      <c r="G18" s="61">
        <v>6</v>
      </c>
      <c r="H18" s="61">
        <v>7</v>
      </c>
      <c r="I18" s="61" t="s">
        <v>149</v>
      </c>
      <c r="J18" s="43"/>
    </row>
    <row r="19" spans="1:28" ht="18.75" customHeight="1" x14ac:dyDescent="0.15">
      <c r="A19" s="228"/>
      <c r="B19" s="27">
        <f>monitor!B7</f>
        <v>96000000</v>
      </c>
      <c r="C19" s="27">
        <f>monitor!C7</f>
        <v>128000000</v>
      </c>
      <c r="D19" s="27">
        <f>monitor!D7</f>
        <v>153600000</v>
      </c>
      <c r="E19" s="27">
        <f>monitor!E7</f>
        <v>192000000</v>
      </c>
      <c r="F19" s="27">
        <f>monitor!F7</f>
        <v>0</v>
      </c>
      <c r="G19" s="27">
        <f>monitor!G7</f>
        <v>0</v>
      </c>
      <c r="H19" s="27">
        <f>monitor!H7</f>
        <v>0</v>
      </c>
      <c r="I19" s="35">
        <f>CHOOSE(I23,B19,C19,D19,E19,F19,G19,H19)</f>
        <v>153600000</v>
      </c>
      <c r="J19" s="43"/>
    </row>
    <row r="20" spans="1:28" ht="18.75" customHeight="1" x14ac:dyDescent="0.15">
      <c r="A20" s="62" t="s">
        <v>45</v>
      </c>
      <c r="B20" s="27">
        <f>INT(B19/(IF((B19-C8*INT(B19/C8))&gt;C8/2,INT(B19/C8)+1,INT(B19/C8))))</f>
        <v>96000000</v>
      </c>
      <c r="C20" s="27">
        <f>IF(C19=0,0,INT(C19/(IF((C19-C8*INT(C19/C8))&gt;C8/2,INT(C19/C8)+1,INT(C19/C8)))))</f>
        <v>128000000</v>
      </c>
      <c r="D20" s="27">
        <f>IF(D19=0,0,INT(D19/(IF((D19-C8*INT(D19/C8))&gt;C8/2,INT(D19/C8)+1,INT(D19/C8)))))</f>
        <v>153600000</v>
      </c>
      <c r="E20" s="27">
        <f>IF(E19=0,0,INT(E19/(IF((E19-C8*INT(E19/C8))&gt;C8/2,INT(E19/C8)+1,INT(E19/C8)))))</f>
        <v>192000000</v>
      </c>
      <c r="F20" s="27">
        <f>IF(F19=0,0,INT(F19/(IF((F19-C8*INT(F19/C8))&gt;C8/2,INT(F19/C8)+1,INT(F19/C8)))))</f>
        <v>0</v>
      </c>
      <c r="G20" s="27">
        <f>IF(G19=0,0,INT(G19/(IF((G19-C8*INT(G19/C8))&gt;C8/2,INT(G19/C8)+1,INT(G19/C8)))))</f>
        <v>0</v>
      </c>
      <c r="H20" s="27">
        <f>IF(H19=0,0,INT(H19/(IF((H19-C8*INT(H19/C8))&gt;C8/2,INT(H19/C8)+1,INT(H19/C8)))))</f>
        <v>0</v>
      </c>
      <c r="I20" s="35">
        <f>CHOOSE(I23,B20,C20,D20,E20,F20,G20,H21)</f>
        <v>153600000</v>
      </c>
      <c r="J20" s="43"/>
    </row>
    <row r="21" spans="1:28" ht="19.5" customHeight="1" x14ac:dyDescent="0.15">
      <c r="A21" s="62" t="s">
        <v>145</v>
      </c>
      <c r="B21" s="27">
        <f>B20/B6</f>
        <v>36.133694670280036</v>
      </c>
      <c r="C21" s="27">
        <f>C20/B6</f>
        <v>48.178259560373384</v>
      </c>
      <c r="D21" s="27">
        <f>D20/B6</f>
        <v>57.813911472448055</v>
      </c>
      <c r="E21" s="27">
        <f>E20/B6</f>
        <v>72.267389340560072</v>
      </c>
      <c r="F21" s="27">
        <f>F20/B6</f>
        <v>0</v>
      </c>
      <c r="G21" s="27">
        <f>G20/B6</f>
        <v>0</v>
      </c>
      <c r="H21" s="27">
        <f>H20/B6</f>
        <v>0</v>
      </c>
      <c r="I21" s="35">
        <f>CHOOSE(I23,B21,C21,D21,E21,F21,G21,H21)</f>
        <v>57.813911472448055</v>
      </c>
      <c r="J21" s="43"/>
    </row>
    <row r="22" spans="1:28" ht="19.5" customHeight="1" x14ac:dyDescent="0.15">
      <c r="A22" s="62" t="s">
        <v>148</v>
      </c>
      <c r="B22" s="27">
        <f>ABS(ROUND(B21-B10,0))</f>
        <v>24</v>
      </c>
      <c r="C22" s="27">
        <f>ABS(ROUND(C21-B10,0))</f>
        <v>12</v>
      </c>
      <c r="D22" s="27">
        <f>ABS(ROUND(D21-B10,0))</f>
        <v>2</v>
      </c>
      <c r="E22" s="27">
        <f>ABS(ROUND(E21-B10,0))</f>
        <v>12</v>
      </c>
      <c r="F22" s="27">
        <f>ABS(ROUND(F21-B10,0))</f>
        <v>60</v>
      </c>
      <c r="G22" s="27">
        <f>ABS(ROUND(G21-B10,0))</f>
        <v>60</v>
      </c>
      <c r="H22" s="27">
        <f>ABS(ROUND(H21-B10,0))</f>
        <v>60</v>
      </c>
      <c r="I22" s="35">
        <f>MIN(B22:H22)</f>
        <v>2</v>
      </c>
      <c r="J22" s="43"/>
    </row>
    <row r="23" spans="1:28" ht="19.5" customHeight="1" x14ac:dyDescent="0.15">
      <c r="A23" s="62" t="s">
        <v>146</v>
      </c>
      <c r="B23" s="27">
        <f>IF(I22=B22,1,88)</f>
        <v>88</v>
      </c>
      <c r="C23" s="27">
        <f>IF(I22=C22,2,88)</f>
        <v>88</v>
      </c>
      <c r="D23" s="27">
        <f>IF(I22=D22,3,88)</f>
        <v>3</v>
      </c>
      <c r="E23" s="27">
        <f>IF(I22=E22,4,88)</f>
        <v>88</v>
      </c>
      <c r="F23" s="27">
        <f>IF(I22=F22,5,88)</f>
        <v>88</v>
      </c>
      <c r="G23" s="27">
        <f>IF(I22=G22,6,88)</f>
        <v>88</v>
      </c>
      <c r="H23" s="27">
        <f>IF(I22=H22,6,88)</f>
        <v>88</v>
      </c>
      <c r="I23" s="35">
        <f>MIN(B23:H23)</f>
        <v>3</v>
      </c>
      <c r="J23" s="43"/>
    </row>
    <row r="24" spans="1:28" ht="19.5" customHeight="1" x14ac:dyDescent="0.15">
      <c r="J24" s="43"/>
    </row>
    <row r="25" spans="1:28" ht="19.5" hidden="1" customHeight="1" x14ac:dyDescent="0.15">
      <c r="J25" s="43"/>
    </row>
    <row r="26" spans="1:28" ht="19.5" hidden="1" customHeight="1" x14ac:dyDescent="0.15">
      <c r="J26" s="43"/>
    </row>
    <row r="27" spans="1:28" ht="19.5" hidden="1" customHeight="1" x14ac:dyDescent="0.15">
      <c r="J27" s="43"/>
    </row>
    <row r="28" spans="1:28" ht="19.5" hidden="1" customHeight="1" x14ac:dyDescent="0.15">
      <c r="J28" s="43"/>
    </row>
    <row r="29" spans="1:28" ht="19.5" hidden="1" customHeight="1" x14ac:dyDescent="0.15">
      <c r="J29" s="43"/>
    </row>
    <row r="30" spans="1:28" ht="19.5" hidden="1" customHeight="1" x14ac:dyDescent="0.15">
      <c r="J30" s="43"/>
    </row>
    <row r="31" spans="1:28" ht="19.5" hidden="1" customHeight="1" x14ac:dyDescent="0.15">
      <c r="J31" s="43"/>
    </row>
    <row r="32" spans="1:28" ht="19.5" customHeight="1" x14ac:dyDescent="0.15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</row>
    <row r="33" spans="1:17" x14ac:dyDescent="0.15">
      <c r="A33" s="222" t="s">
        <v>225</v>
      </c>
      <c r="B33" s="222"/>
      <c r="C33" s="222"/>
      <c r="D33" s="222"/>
      <c r="E33" s="222"/>
      <c r="F33" s="222"/>
      <c r="J33" s="43"/>
      <c r="K33" s="112">
        <v>1</v>
      </c>
      <c r="L33" s="42" t="s">
        <v>66</v>
      </c>
      <c r="M33" s="42"/>
      <c r="N33" s="42" t="s">
        <v>67</v>
      </c>
      <c r="O33" s="42" t="s">
        <v>68</v>
      </c>
      <c r="P33" s="42" t="s">
        <v>55</v>
      </c>
      <c r="Q33" s="42" t="s">
        <v>56</v>
      </c>
    </row>
    <row r="34" spans="1:17" x14ac:dyDescent="0.15">
      <c r="A34" s="198" t="s">
        <v>38</v>
      </c>
      <c r="B34" s="33" t="s">
        <v>36</v>
      </c>
      <c r="C34" s="33" t="s">
        <v>37</v>
      </c>
      <c r="D34" s="33" t="s">
        <v>74</v>
      </c>
      <c r="E34" s="33" t="s">
        <v>154</v>
      </c>
      <c r="F34" s="33" t="s">
        <v>161</v>
      </c>
      <c r="J34" s="43"/>
      <c r="K34" s="27">
        <v>2</v>
      </c>
      <c r="L34" s="114" t="s">
        <v>167</v>
      </c>
      <c r="M34" s="114"/>
      <c r="N34" s="114">
        <f>MIN(N35:N39)</f>
        <v>5</v>
      </c>
      <c r="O34" s="114">
        <f>N34</f>
        <v>5</v>
      </c>
      <c r="P34" s="114" t="str">
        <f>IF((O34&lt;88),CHOOSE(O34,P35,P36,P39,P37,P38),"Success")</f>
        <v>Warning</v>
      </c>
      <c r="Q34" s="114" t="str">
        <f>IF((O34&lt;88),CHOOSE(O34,Q35,Q36,Q39,Q37,Q38),"")</f>
        <v>当前的配置不能达到fps(期望帧率)，如需达到fps(期望帧率)请调整proch值/pixels_clksrc，否则请忽略此警告并使用fps(实际帧率)值</v>
      </c>
    </row>
    <row r="35" spans="1:17" x14ac:dyDescent="0.15">
      <c r="A35" s="199"/>
      <c r="B35" s="36" t="str">
        <f>monitor!B33</f>
        <v>SC9853I</v>
      </c>
      <c r="C35" s="27">
        <f>monitor!C33</f>
        <v>5</v>
      </c>
      <c r="D35" s="27">
        <f>monitor!D33</f>
        <v>153600000</v>
      </c>
      <c r="E35" s="129" t="s">
        <v>155</v>
      </c>
      <c r="F35" s="175" t="s">
        <v>153</v>
      </c>
      <c r="J35" s="43"/>
      <c r="K35" s="27">
        <v>3</v>
      </c>
      <c r="L35" s="27" t="s">
        <v>70</v>
      </c>
      <c r="M35" s="27"/>
      <c r="N35" s="27">
        <f>IF((B37&gt;C37),O35,88)</f>
        <v>88</v>
      </c>
      <c r="O35" s="27">
        <v>1</v>
      </c>
      <c r="P35" s="27" t="s">
        <v>58</v>
      </c>
      <c r="Q35" s="27" t="s">
        <v>57</v>
      </c>
    </row>
    <row r="36" spans="1:17" x14ac:dyDescent="0.15">
      <c r="A36" s="200" t="s">
        <v>24</v>
      </c>
      <c r="B36" s="32" t="s">
        <v>39</v>
      </c>
      <c r="C36" s="32" t="s">
        <v>49</v>
      </c>
      <c r="J36" s="43"/>
      <c r="K36" s="27">
        <v>4</v>
      </c>
      <c r="L36" s="27" t="s">
        <v>69</v>
      </c>
      <c r="M36" s="27"/>
      <c r="N36" s="27">
        <f>IF((D44&gt;E44),O36,88)</f>
        <v>88</v>
      </c>
      <c r="O36" s="27">
        <v>2</v>
      </c>
      <c r="P36" s="27" t="s">
        <v>58</v>
      </c>
      <c r="Q36" s="27" t="s">
        <v>59</v>
      </c>
    </row>
    <row r="37" spans="1:17" x14ac:dyDescent="0.15">
      <c r="A37" s="201"/>
      <c r="B37" s="37">
        <f>monitor!B35</f>
        <v>4</v>
      </c>
      <c r="C37" s="27">
        <f>monitor!C35</f>
        <v>4</v>
      </c>
      <c r="J37" s="43"/>
      <c r="K37" s="27">
        <v>5</v>
      </c>
      <c r="L37" s="27" t="s">
        <v>150</v>
      </c>
      <c r="M37" s="27"/>
      <c r="N37" s="27">
        <f>IF(EXACT(F35,"auto"),IF((B42&lt;&gt;F42),O37,88),88)</f>
        <v>88</v>
      </c>
      <c r="O37" s="27">
        <v>4</v>
      </c>
      <c r="P37" s="27" t="s">
        <v>60</v>
      </c>
      <c r="Q37" s="27" t="s">
        <v>61</v>
      </c>
    </row>
    <row r="38" spans="1:17" x14ac:dyDescent="0.15">
      <c r="A38" s="39" t="s">
        <v>53</v>
      </c>
      <c r="B38" s="41">
        <f>monitor!B42</f>
        <v>1245750</v>
      </c>
      <c r="J38" s="43"/>
      <c r="K38" s="27">
        <v>6</v>
      </c>
      <c r="L38" s="27" t="s">
        <v>73</v>
      </c>
      <c r="M38" s="27"/>
      <c r="N38" s="27">
        <f>IF(EXACT(F35,"manual"),IF((B42&lt;&gt;D42),O38,88),88)</f>
        <v>5</v>
      </c>
      <c r="O38" s="27">
        <v>5</v>
      </c>
      <c r="P38" s="27" t="s">
        <v>60</v>
      </c>
      <c r="Q38" s="27" t="s">
        <v>62</v>
      </c>
    </row>
    <row r="39" spans="1:17" x14ac:dyDescent="0.15">
      <c r="A39" s="221" t="s">
        <v>45</v>
      </c>
      <c r="B39" s="34" t="s">
        <v>174</v>
      </c>
      <c r="C39" s="34" t="s">
        <v>46</v>
      </c>
      <c r="D39" s="223" t="s">
        <v>47</v>
      </c>
      <c r="E39" s="224"/>
      <c r="F39" s="38" t="s">
        <v>50</v>
      </c>
      <c r="G39" s="218" t="s">
        <v>48</v>
      </c>
      <c r="H39" s="218"/>
      <c r="I39" s="40" t="s">
        <v>72</v>
      </c>
      <c r="J39" s="43"/>
      <c r="K39" s="27">
        <v>7</v>
      </c>
      <c r="L39" s="27" t="s">
        <v>210</v>
      </c>
      <c r="M39" s="27"/>
      <c r="N39" s="27">
        <f>IF((C47=1),IF((D47=1),O39,88),88)</f>
        <v>88</v>
      </c>
      <c r="O39" s="27">
        <v>3</v>
      </c>
      <c r="P39" s="27" t="s">
        <v>60</v>
      </c>
      <c r="Q39" s="27" t="s">
        <v>217</v>
      </c>
    </row>
    <row r="40" spans="1:17" x14ac:dyDescent="0.15">
      <c r="A40" s="221"/>
      <c r="B40" s="28">
        <f>monitor!B40</f>
        <v>153600000</v>
      </c>
      <c r="C40" s="27">
        <f>B38*B42</f>
        <v>74745000</v>
      </c>
      <c r="D40" s="27">
        <f>B40/C40</f>
        <v>2.0549869556492073</v>
      </c>
      <c r="E40" s="27">
        <f>INT(D40)</f>
        <v>2</v>
      </c>
      <c r="F40" s="27">
        <f>MIN((IF((B40-C40*E40)&gt;C40/2,E40+1,E40)),16)</f>
        <v>2</v>
      </c>
      <c r="G40" s="27">
        <f>B40/F40</f>
        <v>76800000</v>
      </c>
      <c r="H40" s="27">
        <f>INT(G40)</f>
        <v>76800000</v>
      </c>
      <c r="I40" s="27">
        <f>CHOOSE(C35,0,0,0,0,0,1,0,1)</f>
        <v>0</v>
      </c>
      <c r="J40" s="43"/>
      <c r="K40" s="27">
        <v>8</v>
      </c>
      <c r="L40" s="27"/>
      <c r="M40" s="27"/>
      <c r="N40" s="27"/>
      <c r="O40" s="27"/>
      <c r="P40" s="27"/>
      <c r="Q40" s="27"/>
    </row>
    <row r="41" spans="1:17" x14ac:dyDescent="0.15">
      <c r="A41" s="219" t="s">
        <v>51</v>
      </c>
      <c r="B41" s="29" t="s">
        <v>52</v>
      </c>
      <c r="C41" s="216" t="s">
        <v>162</v>
      </c>
      <c r="D41" s="217"/>
      <c r="E41" s="242" t="s">
        <v>147</v>
      </c>
      <c r="F41" s="242"/>
      <c r="G41" s="20"/>
      <c r="H41" s="20"/>
      <c r="I41" s="20"/>
      <c r="J41" s="43"/>
      <c r="K41" s="113">
        <v>9</v>
      </c>
      <c r="L41" s="27"/>
      <c r="M41" s="27"/>
      <c r="N41" s="27"/>
      <c r="O41" s="27"/>
      <c r="P41" s="27"/>
      <c r="Q41" s="27"/>
    </row>
    <row r="42" spans="1:17" x14ac:dyDescent="0.15">
      <c r="A42" s="220"/>
      <c r="B42" s="28">
        <f>monitor!B41</f>
        <v>60</v>
      </c>
      <c r="C42" s="27">
        <f>H40/B38</f>
        <v>61.649608669476223</v>
      </c>
      <c r="D42" s="27">
        <f>ROUND(C42,0)</f>
        <v>62</v>
      </c>
      <c r="E42" s="27">
        <f>I53</f>
        <v>61.649608669476223</v>
      </c>
      <c r="F42" s="27">
        <f>ROUND(E42,0)</f>
        <v>62</v>
      </c>
      <c r="G42" s="20"/>
      <c r="H42" s="20"/>
      <c r="I42" s="20"/>
      <c r="J42" s="43"/>
      <c r="K42" s="113">
        <v>10</v>
      </c>
      <c r="L42" s="27"/>
      <c r="M42" s="27"/>
      <c r="N42" s="27"/>
      <c r="O42" s="27"/>
      <c r="P42" s="27"/>
      <c r="Q42" s="27"/>
    </row>
    <row r="43" spans="1:17" x14ac:dyDescent="0.15">
      <c r="A43" s="230" t="s">
        <v>40</v>
      </c>
      <c r="B43" s="35" t="s">
        <v>44</v>
      </c>
      <c r="C43" s="35" t="s">
        <v>42</v>
      </c>
      <c r="D43" s="35" t="s">
        <v>144</v>
      </c>
      <c r="E43" s="35" t="s">
        <v>41</v>
      </c>
      <c r="F43" s="35" t="s">
        <v>71</v>
      </c>
      <c r="G43" s="35" t="s">
        <v>161</v>
      </c>
      <c r="J43" s="43"/>
    </row>
    <row r="44" spans="1:17" x14ac:dyDescent="0.15">
      <c r="A44" s="231"/>
      <c r="B44" s="27">
        <f>INT(H40*3*8*1/B37/1000000)</f>
        <v>460</v>
      </c>
      <c r="C44" s="27">
        <f>INT(1.1*B44)</f>
        <v>506</v>
      </c>
      <c r="D44" s="27">
        <f>INT(1.2*B44)</f>
        <v>552</v>
      </c>
      <c r="E44" s="240">
        <f>monitor!B39</f>
        <v>1500</v>
      </c>
      <c r="F44" s="27"/>
      <c r="G44" s="36" t="s">
        <v>157</v>
      </c>
      <c r="J44" s="43"/>
    </row>
    <row r="45" spans="1:17" x14ac:dyDescent="0.15">
      <c r="A45" s="232"/>
      <c r="B45" s="27">
        <f>INT(I52*3*8*1/B37/1000000)</f>
        <v>460</v>
      </c>
      <c r="C45" s="27">
        <f>INT(1.1*B45)</f>
        <v>506</v>
      </c>
      <c r="D45" s="27">
        <f>INT(1.2*B45)</f>
        <v>552</v>
      </c>
      <c r="E45" s="241"/>
      <c r="F45" s="27"/>
      <c r="G45" s="36" t="s">
        <v>163</v>
      </c>
      <c r="J45" s="43"/>
    </row>
    <row r="46" spans="1:17" x14ac:dyDescent="0.15">
      <c r="A46" s="233" t="s">
        <v>210</v>
      </c>
      <c r="B46" s="134" t="s">
        <v>211</v>
      </c>
      <c r="C46" s="133" t="s">
        <v>212</v>
      </c>
      <c r="D46" s="133" t="s">
        <v>213</v>
      </c>
      <c r="E46" s="131"/>
      <c r="F46" s="20"/>
      <c r="G46" s="132"/>
      <c r="J46" s="43"/>
    </row>
    <row r="47" spans="1:17" x14ac:dyDescent="0.15">
      <c r="A47" s="234"/>
      <c r="B47" s="64">
        <f>'lcd(mipi) legacy'!B6+'lcd(mipi) legacy'!B7</f>
        <v>30</v>
      </c>
      <c r="C47" s="64">
        <f>IF(EXACT(B35,"SC9863A"),1,88)</f>
        <v>88</v>
      </c>
      <c r="D47" s="64">
        <f>IF((B47&gt;32),88,1)</f>
        <v>1</v>
      </c>
      <c r="E47" s="131"/>
      <c r="F47" s="20"/>
      <c r="G47" s="132"/>
      <c r="J47" s="43"/>
    </row>
    <row r="48" spans="1:17" ht="18" customHeight="1" x14ac:dyDescent="0.15">
      <c r="A48" s="225" t="s">
        <v>54</v>
      </c>
      <c r="B48" s="63" t="s">
        <v>63</v>
      </c>
      <c r="C48" s="63" t="s">
        <v>64</v>
      </c>
      <c r="D48" s="63" t="s">
        <v>65</v>
      </c>
      <c r="J48" s="43"/>
    </row>
    <row r="49" spans="1:28" ht="17.25" customHeight="1" x14ac:dyDescent="0.15">
      <c r="A49" s="225"/>
      <c r="B49" s="60">
        <f>O34</f>
        <v>5</v>
      </c>
      <c r="C49" s="115" t="str">
        <f>P34</f>
        <v>Warning</v>
      </c>
      <c r="D49" s="60" t="str">
        <f>Q34</f>
        <v>当前的配置不能达到fps(期望帧率)，如需达到fps(期望帧率)请调整proch值/pixels_clksrc，否则请忽略此警告并使用fps(实际帧率)值</v>
      </c>
      <c r="J49" s="43"/>
    </row>
    <row r="50" spans="1:28" x14ac:dyDescent="0.15">
      <c r="A50" s="227" t="s">
        <v>91</v>
      </c>
      <c r="B50" s="61">
        <v>1</v>
      </c>
      <c r="C50" s="61">
        <v>2</v>
      </c>
      <c r="D50" s="61">
        <v>3</v>
      </c>
      <c r="E50" s="61">
        <v>4</v>
      </c>
      <c r="F50" s="61">
        <v>5</v>
      </c>
      <c r="G50" s="61">
        <v>6</v>
      </c>
      <c r="H50" s="61">
        <v>7</v>
      </c>
      <c r="I50" s="61" t="s">
        <v>149</v>
      </c>
      <c r="J50" s="43"/>
    </row>
    <row r="51" spans="1:28" x14ac:dyDescent="0.15">
      <c r="A51" s="228"/>
      <c r="B51" s="27">
        <f>monitor!B37</f>
        <v>128000000</v>
      </c>
      <c r="C51" s="27">
        <f>monitor!C37</f>
        <v>153600000</v>
      </c>
      <c r="D51" s="27">
        <f>monitor!D37</f>
        <v>192000000</v>
      </c>
      <c r="E51" s="27">
        <f>monitor!E37</f>
        <v>256000000</v>
      </c>
      <c r="F51" s="27">
        <f>monitor!F37</f>
        <v>0</v>
      </c>
      <c r="G51" s="27">
        <f>monitor!G37</f>
        <v>0</v>
      </c>
      <c r="H51" s="27">
        <f>monitor!H37</f>
        <v>0</v>
      </c>
      <c r="I51" s="35">
        <f>CHOOSE(I55,B51,C51,D51,E51,F51,G51,H51)</f>
        <v>153600000</v>
      </c>
      <c r="J51" s="43"/>
    </row>
    <row r="52" spans="1:28" ht="18" customHeight="1" x14ac:dyDescent="0.15">
      <c r="A52" s="62" t="s">
        <v>45</v>
      </c>
      <c r="B52" s="27">
        <f>INT(B51/(IF((B51-C40*INT(B51/C40))&gt;C40/2,INT(B51/C40)+1,INT(B51/C40))))</f>
        <v>64000000</v>
      </c>
      <c r="C52" s="27">
        <f>IF(C51=0,0,INT(C51/(IF((C51-C40*INT(C51/C40))&gt;C40/2,INT(C51/C40)+1,INT(C51/C40)))))</f>
        <v>76800000</v>
      </c>
      <c r="D52" s="27">
        <f>IF(D51=0,0,INT(D51/(IF((D51-C40*INT(D51/C40))&gt;C40/2,INT(D51/C40)+1,INT(D51/C40)))))</f>
        <v>64000000</v>
      </c>
      <c r="E52" s="27">
        <f>IF(E51=0,0,INT(E51/(IF((E51-C40*INT(E51/C40))&gt;C40/2,INT(E51/C40)+1,INT(E51/C40)))))</f>
        <v>85333333</v>
      </c>
      <c r="F52" s="27">
        <f>IF(F51=0,0,INT(F51/(IF((F51-C40*INT(F51/C40))&gt;C40/2,INT(F51/C40)+1,INT(F51/C40)))))</f>
        <v>0</v>
      </c>
      <c r="G52" s="27">
        <f>IF(G51=0,0,INT(G51/(IF((G51-C40*INT(G51/C40))&gt;C40/2,INT(G51/C40)+1,INT(G51/C40)))))</f>
        <v>0</v>
      </c>
      <c r="H52" s="27">
        <f>IF(H51=0,0,INT(H51/(IF((H51-C40*INT(H51/C40))&gt;C40/2,INT(H51/C40)+1,INT(H51/C40)))))</f>
        <v>0</v>
      </c>
      <c r="I52" s="35">
        <f>CHOOSE(I55,B52,C52,D52,E52,F52,G52,H53)</f>
        <v>76800000</v>
      </c>
      <c r="J52" s="43"/>
    </row>
    <row r="53" spans="1:28" ht="18" customHeight="1" x14ac:dyDescent="0.15">
      <c r="A53" s="62" t="s">
        <v>145</v>
      </c>
      <c r="B53" s="27">
        <f>B52/B38</f>
        <v>51.374673891230181</v>
      </c>
      <c r="C53" s="27">
        <f>C52/B38</f>
        <v>61.649608669476223</v>
      </c>
      <c r="D53" s="27">
        <f>D52/B38</f>
        <v>51.374673891230181</v>
      </c>
      <c r="E53" s="27">
        <f>E52/B38</f>
        <v>68.499564920730478</v>
      </c>
      <c r="F53" s="27">
        <f>F52/B38</f>
        <v>0</v>
      </c>
      <c r="G53" s="27">
        <f>G52/B38</f>
        <v>0</v>
      </c>
      <c r="H53" s="27">
        <f>H52/B38</f>
        <v>0</v>
      </c>
      <c r="I53" s="35">
        <f>CHOOSE(I55,B53,C53,D53,E53,F53,G53,H53)</f>
        <v>61.649608669476223</v>
      </c>
      <c r="J53" s="43"/>
    </row>
    <row r="54" spans="1:28" ht="18.75" customHeight="1" x14ac:dyDescent="0.15">
      <c r="A54" s="62" t="s">
        <v>148</v>
      </c>
      <c r="B54" s="27">
        <f>ABS(ROUND(B53-B42,0))</f>
        <v>9</v>
      </c>
      <c r="C54" s="27">
        <f>ABS(ROUND(C53-B42,0))</f>
        <v>2</v>
      </c>
      <c r="D54" s="27">
        <f>ABS(ROUND(D53-B42,0))</f>
        <v>9</v>
      </c>
      <c r="E54" s="27">
        <f>ABS(ROUND(E53-B42,0))</f>
        <v>8</v>
      </c>
      <c r="F54" s="27">
        <f>ABS(ROUND(F53-B42,0))</f>
        <v>60</v>
      </c>
      <c r="G54" s="27">
        <f>ABS(ROUND(G53-B42,0))</f>
        <v>60</v>
      </c>
      <c r="H54" s="27">
        <f>ABS(ROUND(H53-B42,0))</f>
        <v>60</v>
      </c>
      <c r="I54" s="35">
        <f>MIN(B54:H54)</f>
        <v>2</v>
      </c>
      <c r="J54" s="43"/>
    </row>
    <row r="55" spans="1:28" ht="19.5" customHeight="1" x14ac:dyDescent="0.15">
      <c r="A55" s="62" t="s">
        <v>146</v>
      </c>
      <c r="B55" s="27">
        <f>IF(I54=B54,1,88)</f>
        <v>88</v>
      </c>
      <c r="C55" s="27">
        <f>IF(I54=C54,2,88)</f>
        <v>2</v>
      </c>
      <c r="D55" s="27">
        <f>IF(I54=D54,3,88)</f>
        <v>88</v>
      </c>
      <c r="E55" s="27">
        <f>IF(I54=E54,4,88)</f>
        <v>88</v>
      </c>
      <c r="F55" s="27">
        <f>IF(I54=F54,5,88)</f>
        <v>88</v>
      </c>
      <c r="G55" s="27">
        <f>IF(I54=G54,6,88)</f>
        <v>88</v>
      </c>
      <c r="H55" s="27">
        <f>IF(I54=H54,6,88)</f>
        <v>88</v>
      </c>
      <c r="I55" s="35">
        <f>MIN(B55:H55)</f>
        <v>2</v>
      </c>
      <c r="J55" s="43"/>
    </row>
    <row r="56" spans="1:28" ht="19.5" customHeight="1" x14ac:dyDescent="0.15">
      <c r="J56" s="43"/>
    </row>
    <row r="57" spans="1:28" ht="19.5" hidden="1" customHeight="1" x14ac:dyDescent="0.15"/>
    <row r="58" spans="1:28" ht="19.5" hidden="1" customHeight="1" x14ac:dyDescent="0.15"/>
    <row r="59" spans="1:28" ht="19.5" hidden="1" customHeight="1" x14ac:dyDescent="0.15"/>
    <row r="60" spans="1:28" ht="19.5" hidden="1" customHeight="1" x14ac:dyDescent="0.15"/>
    <row r="61" spans="1:28" ht="19.5" hidden="1" customHeight="1" x14ac:dyDescent="0.15"/>
    <row r="62" spans="1:28" ht="19.5" hidden="1" customHeight="1" x14ac:dyDescent="0.15"/>
    <row r="63" spans="1:28" ht="19.5" hidden="1" customHeight="1" x14ac:dyDescent="0.15"/>
    <row r="64" spans="1:28" ht="21" customHeight="1" x14ac:dyDescent="0.15">
      <c r="A64" s="229"/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29"/>
      <c r="P64" s="229"/>
      <c r="Q64" s="229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</row>
    <row r="65" spans="1:17" x14ac:dyDescent="0.15">
      <c r="A65" s="222" t="s">
        <v>169</v>
      </c>
      <c r="B65" s="222"/>
      <c r="C65" s="222"/>
      <c r="D65" s="222"/>
      <c r="E65" s="222"/>
      <c r="F65" s="222"/>
      <c r="J65" s="43"/>
      <c r="K65" s="112">
        <v>1</v>
      </c>
      <c r="L65" s="42" t="s">
        <v>66</v>
      </c>
      <c r="M65" s="42"/>
      <c r="N65" s="42" t="s">
        <v>67</v>
      </c>
      <c r="O65" s="42" t="s">
        <v>68</v>
      </c>
      <c r="P65" s="42" t="s">
        <v>55</v>
      </c>
      <c r="Q65" s="42" t="s">
        <v>56</v>
      </c>
    </row>
    <row r="66" spans="1:17" x14ac:dyDescent="0.15">
      <c r="A66" s="198" t="s">
        <v>38</v>
      </c>
      <c r="B66" s="33" t="s">
        <v>36</v>
      </c>
      <c r="C66" s="33" t="s">
        <v>37</v>
      </c>
      <c r="D66" s="33" t="s">
        <v>74</v>
      </c>
      <c r="E66" s="33" t="s">
        <v>154</v>
      </c>
      <c r="F66" s="33" t="s">
        <v>161</v>
      </c>
      <c r="J66" s="43"/>
      <c r="K66" s="27">
        <v>2</v>
      </c>
      <c r="L66" s="114" t="s">
        <v>167</v>
      </c>
      <c r="M66" s="114"/>
      <c r="N66" s="114" t="e">
        <f>MIN(N67:N71)</f>
        <v>#REF!</v>
      </c>
      <c r="O66" s="114" t="e">
        <f>N66</f>
        <v>#REF!</v>
      </c>
      <c r="P66" s="114" t="e">
        <f>IF((O66&lt;88),CHOOSE(O66,P67,P68,P69,P70,P71),"Success")</f>
        <v>#REF!</v>
      </c>
      <c r="Q66" s="114" t="e">
        <f>IF((O66&lt;88),CHOOSE(O66,Q67,Q68,Q69,Q70,Q71),"")</f>
        <v>#REF!</v>
      </c>
    </row>
    <row r="67" spans="1:17" x14ac:dyDescent="0.15">
      <c r="A67" s="199"/>
      <c r="B67" s="36" t="e">
        <f>monitor!B63</f>
        <v>#REF!</v>
      </c>
      <c r="C67" s="27" t="e">
        <f>monitor!C63</f>
        <v>#REF!</v>
      </c>
      <c r="D67" s="27" t="e">
        <f>monitor!D63</f>
        <v>#REF!</v>
      </c>
      <c r="E67" s="73" t="s">
        <v>155</v>
      </c>
      <c r="F67" s="72" t="s">
        <v>153</v>
      </c>
      <c r="J67" s="43"/>
      <c r="K67" s="27">
        <v>3</v>
      </c>
      <c r="L67" s="27" t="s">
        <v>70</v>
      </c>
      <c r="M67" s="27"/>
      <c r="N67" s="27" t="e">
        <f>IF((B69&gt;C69),O67,88)</f>
        <v>#REF!</v>
      </c>
      <c r="O67" s="27">
        <v>1</v>
      </c>
      <c r="P67" s="27" t="s">
        <v>58</v>
      </c>
      <c r="Q67" s="27" t="s">
        <v>57</v>
      </c>
    </row>
    <row r="68" spans="1:17" x14ac:dyDescent="0.15">
      <c r="A68" s="200" t="s">
        <v>24</v>
      </c>
      <c r="B68" s="59" t="s">
        <v>39</v>
      </c>
      <c r="C68" s="59" t="s">
        <v>41</v>
      </c>
      <c r="J68" s="43"/>
      <c r="K68" s="27">
        <v>4</v>
      </c>
      <c r="L68" s="27" t="s">
        <v>69</v>
      </c>
      <c r="M68" s="27"/>
      <c r="N68" s="27" t="e">
        <f>IF((D76&gt;E76),O68,88)</f>
        <v>#REF!</v>
      </c>
      <c r="O68" s="27">
        <v>2</v>
      </c>
      <c r="P68" s="27" t="s">
        <v>58</v>
      </c>
      <c r="Q68" s="27" t="s">
        <v>59</v>
      </c>
    </row>
    <row r="69" spans="1:17" x14ac:dyDescent="0.15">
      <c r="A69" s="201"/>
      <c r="B69" s="69" t="e">
        <f>monitor!B65</f>
        <v>#REF!</v>
      </c>
      <c r="C69" s="27" t="e">
        <f>monitor!C65</f>
        <v>#REF!</v>
      </c>
      <c r="J69" s="43"/>
      <c r="K69" s="27">
        <v>5</v>
      </c>
      <c r="L69" s="27" t="s">
        <v>150</v>
      </c>
      <c r="M69" s="27"/>
      <c r="N69" s="27">
        <f>IF(EXACT(F67,"auto"),IF((B74&lt;&gt;F74),O69,88),88)</f>
        <v>88</v>
      </c>
      <c r="O69" s="27">
        <v>3</v>
      </c>
      <c r="P69" s="27" t="s">
        <v>60</v>
      </c>
      <c r="Q69" s="27" t="s">
        <v>61</v>
      </c>
    </row>
    <row r="70" spans="1:17" x14ac:dyDescent="0.15">
      <c r="A70" s="39" t="s">
        <v>53</v>
      </c>
      <c r="B70" s="41" t="e">
        <f>monitor!B72</f>
        <v>#REF!</v>
      </c>
      <c r="J70" s="43"/>
      <c r="K70" s="27">
        <v>6</v>
      </c>
      <c r="L70" s="27" t="s">
        <v>73</v>
      </c>
      <c r="M70" s="27"/>
      <c r="N70" s="27" t="e">
        <f>IF(EXACT(F67,"manual"),IF((B74&lt;&gt;D74),O70,88),88)</f>
        <v>#REF!</v>
      </c>
      <c r="O70" s="27">
        <v>4</v>
      </c>
      <c r="P70" s="27" t="s">
        <v>60</v>
      </c>
      <c r="Q70" s="27" t="s">
        <v>62</v>
      </c>
    </row>
    <row r="71" spans="1:17" x14ac:dyDescent="0.15">
      <c r="A71" s="221" t="s">
        <v>45</v>
      </c>
      <c r="B71" s="34" t="s">
        <v>173</v>
      </c>
      <c r="C71" s="34" t="s">
        <v>46</v>
      </c>
      <c r="D71" s="223" t="s">
        <v>47</v>
      </c>
      <c r="E71" s="224"/>
      <c r="F71" s="38" t="s">
        <v>50</v>
      </c>
      <c r="G71" s="218" t="s">
        <v>48</v>
      </c>
      <c r="H71" s="218"/>
      <c r="J71" s="43"/>
      <c r="K71" s="27">
        <v>7</v>
      </c>
      <c r="L71" s="27"/>
      <c r="M71" s="27"/>
      <c r="N71" s="27"/>
      <c r="O71" s="27"/>
      <c r="P71" s="27"/>
      <c r="Q71" s="27"/>
    </row>
    <row r="72" spans="1:17" x14ac:dyDescent="0.15">
      <c r="A72" s="221"/>
      <c r="B72" s="28" t="e">
        <f>monitor!B70</f>
        <v>#REF!</v>
      </c>
      <c r="C72" s="27" t="e">
        <f>B70*B74</f>
        <v>#REF!</v>
      </c>
      <c r="D72" s="27" t="e">
        <f>B72/C72</f>
        <v>#REF!</v>
      </c>
      <c r="E72" s="27" t="e">
        <f>INT(D72)</f>
        <v>#REF!</v>
      </c>
      <c r="F72" s="27" t="e">
        <f>IF((B72-C72*E72)&gt;C72/2,E72+1,E72)</f>
        <v>#REF!</v>
      </c>
      <c r="G72" s="27" t="e">
        <f>B72/F72</f>
        <v>#REF!</v>
      </c>
      <c r="H72" s="27" t="e">
        <f>INT(G72)</f>
        <v>#REF!</v>
      </c>
      <c r="J72" s="43"/>
      <c r="K72" s="27">
        <v>8</v>
      </c>
      <c r="L72" s="27"/>
      <c r="M72" s="27"/>
      <c r="N72" s="27"/>
      <c r="O72" s="27"/>
      <c r="P72" s="27"/>
      <c r="Q72" s="27"/>
    </row>
    <row r="73" spans="1:17" x14ac:dyDescent="0.15">
      <c r="A73" s="219" t="s">
        <v>51</v>
      </c>
      <c r="B73" s="29" t="s">
        <v>52</v>
      </c>
      <c r="C73" s="216" t="s">
        <v>162</v>
      </c>
      <c r="D73" s="217"/>
      <c r="E73" s="242" t="s">
        <v>147</v>
      </c>
      <c r="F73" s="242"/>
      <c r="G73" s="20"/>
      <c r="H73" s="20"/>
      <c r="J73" s="43"/>
      <c r="K73" s="113">
        <v>9</v>
      </c>
      <c r="L73" s="27"/>
      <c r="M73" s="27"/>
      <c r="N73" s="27"/>
      <c r="O73" s="27"/>
      <c r="P73" s="27"/>
      <c r="Q73" s="27"/>
    </row>
    <row r="74" spans="1:17" x14ac:dyDescent="0.15">
      <c r="A74" s="220"/>
      <c r="B74" s="28" t="e">
        <f>monitor!B71</f>
        <v>#REF!</v>
      </c>
      <c r="C74" s="27" t="e">
        <f>H72/B70</f>
        <v>#REF!</v>
      </c>
      <c r="D74" s="27" t="e">
        <f>ROUND(C74,0)</f>
        <v>#REF!</v>
      </c>
      <c r="E74" s="27" t="e">
        <f>I83</f>
        <v>#REF!</v>
      </c>
      <c r="F74" s="27" t="e">
        <f>ROUND(E74,0)</f>
        <v>#REF!</v>
      </c>
      <c r="G74" s="20"/>
      <c r="H74" s="20"/>
      <c r="I74" s="20"/>
      <c r="J74" s="43"/>
      <c r="K74" s="113">
        <v>10</v>
      </c>
      <c r="L74" s="27"/>
      <c r="M74" s="27"/>
      <c r="N74" s="27"/>
      <c r="O74" s="27"/>
      <c r="P74" s="27"/>
      <c r="Q74" s="27"/>
    </row>
    <row r="75" spans="1:17" x14ac:dyDescent="0.15">
      <c r="A75" s="230" t="s">
        <v>15</v>
      </c>
      <c r="B75" s="35" t="s">
        <v>44</v>
      </c>
      <c r="C75" s="35" t="s">
        <v>42</v>
      </c>
      <c r="D75" s="35" t="s">
        <v>43</v>
      </c>
      <c r="E75" s="35" t="s">
        <v>41</v>
      </c>
      <c r="F75" s="35" t="s">
        <v>71</v>
      </c>
      <c r="G75" s="35" t="s">
        <v>161</v>
      </c>
      <c r="J75" s="43"/>
    </row>
    <row r="76" spans="1:17" x14ac:dyDescent="0.15">
      <c r="A76" s="231"/>
      <c r="B76" s="27" t="e">
        <f>INT(H72*3*8*1/B69/1000000)</f>
        <v>#REF!</v>
      </c>
      <c r="C76" s="27" t="e">
        <f>INT(1.1*B76)</f>
        <v>#REF!</v>
      </c>
      <c r="D76" s="27" t="e">
        <f>INT(1.2*B76)</f>
        <v>#REF!</v>
      </c>
      <c r="E76" s="240" t="e">
        <f>monitor!B69</f>
        <v>#REF!</v>
      </c>
      <c r="F76" s="27"/>
      <c r="G76" s="36" t="s">
        <v>157</v>
      </c>
      <c r="J76" s="43"/>
    </row>
    <row r="77" spans="1:17" x14ac:dyDescent="0.15">
      <c r="A77" s="232"/>
      <c r="B77" s="27" t="e">
        <f>INT(I82*3*8*1/B69/1000000)</f>
        <v>#REF!</v>
      </c>
      <c r="C77" s="27" t="e">
        <f>INT(1.1*B77)</f>
        <v>#REF!</v>
      </c>
      <c r="D77" s="27" t="e">
        <f>INT(1.2*B77)</f>
        <v>#REF!</v>
      </c>
      <c r="E77" s="241"/>
      <c r="F77" s="27"/>
      <c r="G77" s="36" t="s">
        <v>163</v>
      </c>
      <c r="J77" s="43"/>
    </row>
    <row r="78" spans="1:17" x14ac:dyDescent="0.15">
      <c r="A78" s="225" t="s">
        <v>54</v>
      </c>
      <c r="B78" s="63" t="s">
        <v>168</v>
      </c>
      <c r="C78" s="63" t="s">
        <v>64</v>
      </c>
      <c r="D78" s="63" t="s">
        <v>65</v>
      </c>
      <c r="J78" s="43"/>
    </row>
    <row r="79" spans="1:17" x14ac:dyDescent="0.15">
      <c r="A79" s="226"/>
      <c r="B79" s="60" t="e">
        <f>O66</f>
        <v>#REF!</v>
      </c>
      <c r="C79" s="115" t="e">
        <f>P66</f>
        <v>#REF!</v>
      </c>
      <c r="D79" s="60" t="e">
        <f>Q66</f>
        <v>#REF!</v>
      </c>
      <c r="J79" s="43"/>
    </row>
    <row r="80" spans="1:17" x14ac:dyDescent="0.15">
      <c r="A80" s="227" t="s">
        <v>91</v>
      </c>
      <c r="B80" s="61">
        <v>1</v>
      </c>
      <c r="C80" s="61">
        <v>2</v>
      </c>
      <c r="D80" s="61">
        <v>3</v>
      </c>
      <c r="E80" s="61">
        <v>4</v>
      </c>
      <c r="F80" s="61">
        <v>5</v>
      </c>
      <c r="G80" s="61">
        <v>6</v>
      </c>
      <c r="H80" s="61">
        <v>7</v>
      </c>
      <c r="I80" s="61" t="s">
        <v>149</v>
      </c>
      <c r="J80" s="43"/>
    </row>
    <row r="81" spans="1:10" x14ac:dyDescent="0.15">
      <c r="A81" s="228"/>
      <c r="B81" s="27" t="e">
        <f>monitor!B67</f>
        <v>#REF!</v>
      </c>
      <c r="C81" s="27" t="e">
        <f>monitor!C67</f>
        <v>#REF!</v>
      </c>
      <c r="D81" s="27" t="e">
        <f>monitor!D67</f>
        <v>#REF!</v>
      </c>
      <c r="E81" s="27" t="e">
        <f>monitor!E67</f>
        <v>#REF!</v>
      </c>
      <c r="F81" s="27" t="e">
        <f>monitor!F67</f>
        <v>#REF!</v>
      </c>
      <c r="G81" s="27" t="e">
        <f>monitor!G67</f>
        <v>#REF!</v>
      </c>
      <c r="H81" s="27">
        <f>monitor!H67</f>
        <v>0</v>
      </c>
      <c r="I81" s="35" t="e">
        <f>CHOOSE(I85,B81,C81,D81,E81,F81,G81,H81)</f>
        <v>#REF!</v>
      </c>
      <c r="J81" s="43"/>
    </row>
    <row r="82" spans="1:10" x14ac:dyDescent="0.15">
      <c r="A82" s="62" t="s">
        <v>175</v>
      </c>
      <c r="B82" s="27" t="e">
        <f>INT(B81/(IF((B81-C72*INT(B81/C72))&gt;C72/2,INT(B81/C72)+1,INT(B81/C72))))</f>
        <v>#REF!</v>
      </c>
      <c r="C82" s="27" t="e">
        <f>IF(C81=0,0,INT(C81/(IF((C81-C72*INT(C81/C72))&gt;C72/2,INT(C81/C72)+1,INT(C81/C72)))))</f>
        <v>#REF!</v>
      </c>
      <c r="D82" s="27" t="e">
        <f>IF(D81=0,0,INT(D81/(IF((D81-C72*INT(D81/C72))&gt;C72/2,INT(D81/C72)+1,INT(D81/C72)))))</f>
        <v>#REF!</v>
      </c>
      <c r="E82" s="27" t="e">
        <f>IF(E81=0,0,INT(E81/(IF((E81-C72*INT(E81/C72))&gt;C72/2,INT(E81/C72)+1,INT(E81/C72)))))</f>
        <v>#REF!</v>
      </c>
      <c r="F82" s="27" t="e">
        <f>IF(F81=0,0,INT(F81/(IF((F81-C72*INT(F81/C72))&gt;C72/2,INT(F81/C72)+1,INT(F81/C72)))))</f>
        <v>#REF!</v>
      </c>
      <c r="G82" s="27" t="e">
        <f>IF(G81=0,0,INT(G81/(IF((G81-C72*INT(G81/C72))&gt;C72/2,INT(G81/C72)+1,INT(G81/C72)))))</f>
        <v>#REF!</v>
      </c>
      <c r="H82" s="27">
        <f>IF(H81=0,0,INT(H81/(IF((H81-C72*INT(H81/C72))&gt;C72/2,INT(H81/C72)+1,INT(H81/C72)))))</f>
        <v>0</v>
      </c>
      <c r="I82" s="35" t="e">
        <f>CHOOSE(I85,B82,C82,D82,E82,F82,G82,H83)</f>
        <v>#REF!</v>
      </c>
      <c r="J82" s="43"/>
    </row>
    <row r="83" spans="1:10" x14ac:dyDescent="0.15">
      <c r="A83" s="62" t="s">
        <v>145</v>
      </c>
      <c r="B83" s="27" t="e">
        <f>B82/B70</f>
        <v>#REF!</v>
      </c>
      <c r="C83" s="27" t="e">
        <f>C82/B70</f>
        <v>#REF!</v>
      </c>
      <c r="D83" s="27" t="e">
        <f>D82/B70</f>
        <v>#REF!</v>
      </c>
      <c r="E83" s="27" t="e">
        <f>E82/B70</f>
        <v>#REF!</v>
      </c>
      <c r="F83" s="27" t="e">
        <f>F82/B70</f>
        <v>#REF!</v>
      </c>
      <c r="G83" s="27" t="e">
        <f>G82/B70</f>
        <v>#REF!</v>
      </c>
      <c r="H83" s="27" t="e">
        <f>H82/B70</f>
        <v>#REF!</v>
      </c>
      <c r="I83" s="35" t="e">
        <f>CHOOSE(I85,B83,C83,D83,E83,F83,G83,H83)</f>
        <v>#REF!</v>
      </c>
      <c r="J83" s="43"/>
    </row>
    <row r="84" spans="1:10" x14ac:dyDescent="0.15">
      <c r="A84" s="62" t="s">
        <v>148</v>
      </c>
      <c r="B84" s="27" t="e">
        <f>ABS(ROUND(B83-B74,0))</f>
        <v>#REF!</v>
      </c>
      <c r="C84" s="27" t="e">
        <f>ABS(ROUND(C83-B74,0))</f>
        <v>#REF!</v>
      </c>
      <c r="D84" s="27" t="e">
        <f>ABS(ROUND(D83-B74,0))</f>
        <v>#REF!</v>
      </c>
      <c r="E84" s="27" t="e">
        <f>ABS(ROUND(E83-B74,0))</f>
        <v>#REF!</v>
      </c>
      <c r="F84" s="27" t="e">
        <f>ABS(ROUND(F83-B74,0))</f>
        <v>#REF!</v>
      </c>
      <c r="G84" s="27" t="e">
        <f>ABS(ROUND(G83-B74,0))</f>
        <v>#REF!</v>
      </c>
      <c r="H84" s="27" t="e">
        <f>ABS(ROUND(H83-B74,0))</f>
        <v>#REF!</v>
      </c>
      <c r="I84" s="35" t="e">
        <f>MIN(B84:H84)</f>
        <v>#REF!</v>
      </c>
      <c r="J84" s="43"/>
    </row>
    <row r="85" spans="1:10" x14ac:dyDescent="0.15">
      <c r="A85" s="62" t="s">
        <v>146</v>
      </c>
      <c r="B85" s="27" t="e">
        <f>IF(I84=B84,1,88)</f>
        <v>#REF!</v>
      </c>
      <c r="C85" s="27" t="e">
        <f>IF(I84=C84,2,88)</f>
        <v>#REF!</v>
      </c>
      <c r="D85" s="27" t="e">
        <f>IF(I84=D84,3,88)</f>
        <v>#REF!</v>
      </c>
      <c r="E85" s="27" t="e">
        <f>IF(I84=E84,4,88)</f>
        <v>#REF!</v>
      </c>
      <c r="F85" s="27" t="e">
        <f>IF(I84=F84,5,88)</f>
        <v>#REF!</v>
      </c>
      <c r="G85" s="27" t="e">
        <f>IF(I84=G84,6,88)</f>
        <v>#REF!</v>
      </c>
      <c r="H85" s="27" t="e">
        <f>IF(I84=H84,6,88)</f>
        <v>#REF!</v>
      </c>
      <c r="I85" s="35" t="e">
        <f>MIN(B85:H85)</f>
        <v>#REF!</v>
      </c>
      <c r="J85" s="43"/>
    </row>
    <row r="86" spans="1:10" x14ac:dyDescent="0.15">
      <c r="J86" s="43"/>
    </row>
    <row r="87" spans="1:10" x14ac:dyDescent="0.15">
      <c r="J87" s="43"/>
    </row>
    <row r="88" spans="1:10" x14ac:dyDescent="0.15">
      <c r="J88" s="43"/>
    </row>
    <row r="89" spans="1:10" x14ac:dyDescent="0.15">
      <c r="J89" s="43"/>
    </row>
    <row r="90" spans="1:10" x14ac:dyDescent="0.15">
      <c r="J90" s="43"/>
    </row>
    <row r="91" spans="1:10" x14ac:dyDescent="0.15">
      <c r="J91" s="43"/>
    </row>
  </sheetData>
  <sheetProtection algorithmName="SHA-512" hashValue="QbUaei5mMe/+0Dc01yO1lsVvMO5hCR/R56K4zJaTYrIPwXFsOvGWRsQaFKTaJLCSbOpaMJ5Ne/tnfI/N2EP2Fg==" saltValue="gDQHgeXrCFc6vXNG9L/UBw==" spinCount="100000" sheet="1" selectLockedCells="1"/>
  <mergeCells count="44">
    <mergeCell ref="A71:A72"/>
    <mergeCell ref="D71:E71"/>
    <mergeCell ref="G71:H71"/>
    <mergeCell ref="A78:A79"/>
    <mergeCell ref="A80:A81"/>
    <mergeCell ref="A73:A74"/>
    <mergeCell ref="C73:D73"/>
    <mergeCell ref="E73:F73"/>
    <mergeCell ref="A75:A77"/>
    <mergeCell ref="E76:E77"/>
    <mergeCell ref="A64:AB64"/>
    <mergeCell ref="A65:F65"/>
    <mergeCell ref="A48:A49"/>
    <mergeCell ref="A66:A67"/>
    <mergeCell ref="A68:A69"/>
    <mergeCell ref="A43:A45"/>
    <mergeCell ref="D39:E39"/>
    <mergeCell ref="E44:E45"/>
    <mergeCell ref="E41:F41"/>
    <mergeCell ref="A50:A51"/>
    <mergeCell ref="A46:A47"/>
    <mergeCell ref="A1:F1"/>
    <mergeCell ref="A33:F33"/>
    <mergeCell ref="D7:E7"/>
    <mergeCell ref="G7:H7"/>
    <mergeCell ref="A9:A10"/>
    <mergeCell ref="A2:A3"/>
    <mergeCell ref="A4:A5"/>
    <mergeCell ref="A7:A8"/>
    <mergeCell ref="A16:A17"/>
    <mergeCell ref="A18:A19"/>
    <mergeCell ref="A32:AB32"/>
    <mergeCell ref="A11:A13"/>
    <mergeCell ref="A14:A15"/>
    <mergeCell ref="E9:G9"/>
    <mergeCell ref="L7:L8"/>
    <mergeCell ref="C14:D14"/>
    <mergeCell ref="C9:D9"/>
    <mergeCell ref="G39:H39"/>
    <mergeCell ref="A41:A42"/>
    <mergeCell ref="C41:D41"/>
    <mergeCell ref="A34:A35"/>
    <mergeCell ref="A36:A37"/>
    <mergeCell ref="A39:A40"/>
  </mergeCells>
  <phoneticPr fontId="1" type="noConversion"/>
  <dataValidations count="2">
    <dataValidation type="list" allowBlank="1" showInputMessage="1" showErrorMessage="1" sqref="E3 E35 E67">
      <formula1>"Y,N"</formula1>
    </dataValidation>
    <dataValidation type="list" allowBlank="1" showInputMessage="1" showErrorMessage="1" sqref="F3 F35 F67">
      <formula1>"auto,manual"</formula1>
    </dataValidation>
  </dataValidations>
  <pageMargins left="0.7" right="0.7" top="0.75" bottom="0.75" header="0.3" footer="0.3"/>
  <pageSetup paperSize="9" orientation="portrait" r:id="rId1"/>
  <ignoredErrors>
    <ignoredError sqref="E10 E42 E74" 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3"/>
  <sheetViews>
    <sheetView workbookViewId="0">
      <selection activeCell="D13" sqref="D13"/>
    </sheetView>
  </sheetViews>
  <sheetFormatPr defaultRowHeight="13.5" x14ac:dyDescent="0.15"/>
  <cols>
    <col min="1" max="1" width="16.25" customWidth="1"/>
    <col min="2" max="2" width="17.75" customWidth="1"/>
    <col min="3" max="3" width="22.5" customWidth="1"/>
    <col min="4" max="4" width="58.125" customWidth="1"/>
  </cols>
  <sheetData>
    <row r="1" spans="1:4" ht="20.25" x14ac:dyDescent="0.15">
      <c r="A1" s="245" t="s">
        <v>186</v>
      </c>
      <c r="B1" s="245"/>
      <c r="C1" s="245"/>
      <c r="D1" s="245"/>
    </row>
    <row r="2" spans="1:4" ht="16.5" x14ac:dyDescent="0.15">
      <c r="A2" s="122" t="s">
        <v>187</v>
      </c>
      <c r="B2" s="122" t="s">
        <v>188</v>
      </c>
      <c r="C2" s="122" t="s">
        <v>189</v>
      </c>
      <c r="D2" s="122" t="s">
        <v>190</v>
      </c>
    </row>
    <row r="3" spans="1:4" ht="33" x14ac:dyDescent="0.15">
      <c r="A3" s="123" t="s">
        <v>191</v>
      </c>
      <c r="B3" s="124">
        <v>43455</v>
      </c>
      <c r="C3" s="122" t="s">
        <v>192</v>
      </c>
      <c r="D3" s="125" t="s">
        <v>234</v>
      </c>
    </row>
    <row r="4" spans="1:4" ht="19.5" customHeight="1" x14ac:dyDescent="0.15">
      <c r="A4" s="123"/>
      <c r="B4" s="124"/>
      <c r="C4" s="122"/>
      <c r="D4" s="125"/>
    </row>
    <row r="5" spans="1:4" ht="19.5" customHeight="1" x14ac:dyDescent="0.15">
      <c r="A5" s="123"/>
      <c r="B5" s="124"/>
      <c r="C5" s="122"/>
      <c r="D5" s="125"/>
    </row>
    <row r="9" spans="1:4" ht="20.25" x14ac:dyDescent="0.15">
      <c r="A9" s="245" t="s">
        <v>193</v>
      </c>
      <c r="B9" s="245"/>
      <c r="C9" s="245"/>
      <c r="D9" s="245"/>
    </row>
    <row r="10" spans="1:4" ht="16.5" x14ac:dyDescent="0.15">
      <c r="A10" s="122" t="s">
        <v>195</v>
      </c>
      <c r="B10" s="246" t="s">
        <v>196</v>
      </c>
      <c r="C10" s="247"/>
      <c r="D10" s="122" t="s">
        <v>194</v>
      </c>
    </row>
    <row r="11" spans="1:4" ht="28.5" customHeight="1" x14ac:dyDescent="0.15">
      <c r="A11" s="123"/>
      <c r="B11" s="243"/>
      <c r="C11" s="244"/>
      <c r="D11" s="126"/>
    </row>
    <row r="12" spans="1:4" ht="24.75" customHeight="1" x14ac:dyDescent="0.15">
      <c r="A12" s="123"/>
      <c r="B12" s="243"/>
      <c r="C12" s="244"/>
      <c r="D12" s="125"/>
    </row>
    <row r="13" spans="1:4" ht="27.75" customHeight="1" x14ac:dyDescent="0.15">
      <c r="A13" s="123"/>
      <c r="B13" s="243"/>
      <c r="C13" s="244"/>
      <c r="D13" s="27"/>
    </row>
  </sheetData>
  <sheetProtection algorithmName="SHA-512" hashValue="VE5jnF6Ev5UhfMvRNn0Kin3HAsMdoeVJch/NDIy42qz+C+tT2sFmC2vDdp9oihn4/X4eeZc9svMC9ttUTC5OhQ==" saltValue="cG2gZrRWAluydpK0JBMenQ==" spinCount="100000" sheet="1" objects="1" scenarios="1"/>
  <mergeCells count="6">
    <mergeCell ref="B13:C13"/>
    <mergeCell ref="A1:D1"/>
    <mergeCell ref="A9:D9"/>
    <mergeCell ref="B11:C11"/>
    <mergeCell ref="B12:C12"/>
    <mergeCell ref="B10:C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15</vt:i4>
      </vt:variant>
    </vt:vector>
  </HeadingPairs>
  <TitlesOfParts>
    <vt:vector size="22" baseType="lpstr">
      <vt:lpstr>lcd(mipi) main</vt:lpstr>
      <vt:lpstr>lcd(mipi) legacy</vt:lpstr>
      <vt:lpstr>使用说明</vt:lpstr>
      <vt:lpstr>monitor</vt:lpstr>
      <vt:lpstr>spec</vt:lpstr>
      <vt:lpstr>data</vt:lpstr>
      <vt:lpstr>history</vt:lpstr>
      <vt:lpstr>product_6_7</vt:lpstr>
      <vt:lpstr>product_6_7_8</vt:lpstr>
      <vt:lpstr>product_8.1</vt:lpstr>
      <vt:lpstr>product_all</vt:lpstr>
      <vt:lpstr>product_main</vt:lpstr>
      <vt:lpstr>sc7731c</vt:lpstr>
      <vt:lpstr>sc7731e</vt:lpstr>
      <vt:lpstr>sc7731g</vt:lpstr>
      <vt:lpstr>sc9832a</vt:lpstr>
      <vt:lpstr>sc9832e</vt:lpstr>
      <vt:lpstr>sc9850k</vt:lpstr>
      <vt:lpstr>sc9853i</vt:lpstr>
      <vt:lpstr>sc9863a</vt:lpstr>
      <vt:lpstr>ums312_dpi</vt:lpstr>
      <vt:lpstr>UMS52_DPI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Wei, Evin (危利刚)</dc:creator>
  <cp:lastModifiedBy>Zhang, Weihui (张伟辉)</cp:lastModifiedBy>
  <dcterms:created xsi:type="dcterms:W3CDTF">2006-09-16T00:00:00Z</dcterms:created>
  <dcterms:modified xsi:type="dcterms:W3CDTF">2020-09-04T05:38:39Z</dcterms:modified>
</cp:coreProperties>
</file>