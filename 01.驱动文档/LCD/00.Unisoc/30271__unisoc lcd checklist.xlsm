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isupport\软件发布\SL8521E\doc\"/>
    </mc:Choice>
  </mc:AlternateContent>
  <bookViews>
    <workbookView xWindow="0" yWindow="0" windowWidth="28800" windowHeight="12255"/>
  </bookViews>
  <sheets>
    <sheet name="lcd check" sheetId="1" r:id="rId1"/>
    <sheet name="使用指南" sheetId="8" r:id="rId2"/>
    <sheet name="rootuser" sheetId="23" state="hidden" r:id="rId3"/>
    <sheet name="data" sheetId="2" state="hidden" r:id="rId4"/>
    <sheet name="A1" sheetId="3" state="hidden" r:id="rId5"/>
    <sheet name="A2" sheetId="4" state="hidden" r:id="rId6"/>
    <sheet name="A3" sheetId="5" state="hidden" r:id="rId7"/>
    <sheet name="A4" sheetId="6" state="hidden" r:id="rId8"/>
    <sheet name="A5" sheetId="7" state="hidden" r:id="rId9"/>
    <sheet name="A6" sheetId="9" state="hidden" r:id="rId10"/>
    <sheet name="A7" sheetId="10" state="hidden" r:id="rId11"/>
    <sheet name="A8" sheetId="11" state="hidden" r:id="rId12"/>
    <sheet name="A9" sheetId="12" state="hidden" r:id="rId13"/>
    <sheet name="A10" sheetId="13" state="hidden" r:id="rId14"/>
    <sheet name="A11" sheetId="14" state="hidden" r:id="rId15"/>
    <sheet name="A12" sheetId="15" state="hidden" r:id="rId16"/>
    <sheet name="A13" sheetId="16" state="hidden" r:id="rId17"/>
    <sheet name="A14" sheetId="18" state="hidden" r:id="rId18"/>
    <sheet name="A15" sheetId="19" state="hidden" r:id="rId19"/>
  </sheets>
  <definedNames>
    <definedName name="QT">rootuser!$A$2:$A$4</definedName>
  </definedNames>
  <calcPr calcId="162913"/>
</workbook>
</file>

<file path=xl/calcChain.xml><?xml version="1.0" encoding="utf-8"?>
<calcChain xmlns="http://schemas.openxmlformats.org/spreadsheetml/2006/main">
  <c r="A14" i="23" l="1"/>
  <c r="A10" i="23"/>
  <c r="F26" i="2"/>
  <c r="C26" i="2" s="1"/>
  <c r="F25" i="2"/>
  <c r="C25" i="2" s="1"/>
  <c r="F24" i="2"/>
  <c r="C24" i="2" s="1"/>
  <c r="F23" i="2"/>
  <c r="C23" i="2" s="1"/>
  <c r="F22" i="2"/>
  <c r="C22" i="2" s="1"/>
  <c r="F21" i="2"/>
  <c r="C21" i="2" s="1"/>
  <c r="F20" i="2"/>
  <c r="C20" i="2" s="1"/>
  <c r="C31" i="2"/>
  <c r="C30" i="2"/>
  <c r="C29" i="2"/>
  <c r="C28" i="2"/>
  <c r="C27" i="2"/>
  <c r="A13" i="23" l="1"/>
  <c r="A11" i="23"/>
  <c r="A15" i="23"/>
  <c r="A12" i="23"/>
  <c r="A16" i="23"/>
  <c r="F19" i="2"/>
  <c r="F18" i="2"/>
  <c r="A8" i="23" s="1"/>
  <c r="F15" i="2"/>
  <c r="A5" i="23" s="1"/>
  <c r="F12" i="2"/>
  <c r="A2" i="23" s="1"/>
  <c r="F14" i="2"/>
  <c r="A4" i="23" s="1"/>
  <c r="C19" i="2" l="1"/>
  <c r="A9" i="23"/>
  <c r="C18" i="2"/>
  <c r="C15" i="2" l="1"/>
  <c r="C14" i="2"/>
  <c r="C12" i="2"/>
  <c r="F13" i="2" l="1"/>
  <c r="F16" i="2"/>
  <c r="A6" i="23" s="1"/>
  <c r="C13" i="2" l="1"/>
  <c r="A3" i="23"/>
  <c r="C16" i="2"/>
  <c r="F17" i="2"/>
  <c r="C17" i="2" l="1"/>
  <c r="C11" i="2" s="1"/>
  <c r="P40" i="2" s="1"/>
  <c r="A7" i="23"/>
  <c r="I41" i="2" l="1"/>
  <c r="B68" i="1" s="1"/>
  <c r="P57" i="2"/>
  <c r="P3" i="2"/>
  <c r="P48" i="2"/>
  <c r="P36" i="2"/>
  <c r="P28" i="2"/>
  <c r="F11" i="2"/>
  <c r="M2" i="2" s="1"/>
  <c r="P35" i="2"/>
  <c r="P59" i="2"/>
  <c r="I60" i="2" s="1"/>
  <c r="B87" i="1" s="1"/>
  <c r="P32" i="2"/>
  <c r="P26" i="2"/>
  <c r="P5" i="2"/>
  <c r="P16" i="2"/>
  <c r="P10" i="2"/>
  <c r="P46" i="2"/>
  <c r="P41" i="2"/>
  <c r="P44" i="2"/>
  <c r="P1" i="2"/>
  <c r="P52" i="2"/>
  <c r="P43" i="2"/>
  <c r="P49" i="2"/>
  <c r="P18" i="2"/>
  <c r="P4" i="2"/>
  <c r="P37" i="2"/>
  <c r="P63" i="2"/>
  <c r="P24" i="2"/>
  <c r="P42" i="2"/>
  <c r="P45" i="2"/>
  <c r="P8" i="2"/>
  <c r="P12" i="2"/>
  <c r="P55" i="2"/>
  <c r="P53" i="2"/>
  <c r="P25" i="2"/>
  <c r="P14" i="2"/>
  <c r="P17" i="2"/>
  <c r="P34" i="2"/>
  <c r="P11" i="2"/>
  <c r="P22" i="2"/>
  <c r="P6" i="2"/>
  <c r="P23" i="2"/>
  <c r="P64" i="2"/>
  <c r="P65" i="2"/>
  <c r="P54" i="2"/>
  <c r="P27" i="2"/>
  <c r="P62" i="2"/>
  <c r="I63" i="2" s="1"/>
  <c r="B90" i="1" s="1"/>
  <c r="P29" i="2"/>
  <c r="P38" i="2"/>
  <c r="P20" i="2"/>
  <c r="P47" i="2"/>
  <c r="P56" i="2"/>
  <c r="P19" i="2"/>
  <c r="P58" i="2"/>
  <c r="I59" i="2" s="1"/>
  <c r="B86" i="1" s="1"/>
  <c r="P15" i="2"/>
  <c r="P50" i="2"/>
  <c r="P61" i="2"/>
  <c r="I62" i="2" s="1"/>
  <c r="B89" i="1" s="1"/>
  <c r="P2" i="2"/>
  <c r="P7" i="2"/>
  <c r="P21" i="2"/>
  <c r="P9" i="2"/>
  <c r="P60" i="2"/>
  <c r="P30" i="2"/>
  <c r="P39" i="2"/>
  <c r="P51" i="2"/>
  <c r="P33" i="2"/>
  <c r="P13" i="2"/>
  <c r="P31" i="2"/>
  <c r="M10" i="2" l="1"/>
  <c r="C13" i="1" s="1"/>
  <c r="L10" i="2"/>
  <c r="B13" i="1" s="1"/>
  <c r="I20" i="2"/>
  <c r="B47" i="1" s="1"/>
  <c r="M20" i="2"/>
  <c r="C23" i="1" s="1"/>
  <c r="L20" i="2"/>
  <c r="B23" i="1" s="1"/>
  <c r="M7" i="2"/>
  <c r="C10" i="1" s="1"/>
  <c r="L7" i="2"/>
  <c r="B10" i="1" s="1"/>
  <c r="I56" i="2"/>
  <c r="B83" i="1" s="1"/>
  <c r="M5" i="2"/>
  <c r="C8" i="1" s="1"/>
  <c r="L5" i="2"/>
  <c r="B8" i="1" s="1"/>
  <c r="I5" i="2"/>
  <c r="B32" i="1" s="1"/>
  <c r="I32" i="2"/>
  <c r="B59" i="1" s="1"/>
  <c r="M22" i="2"/>
  <c r="C25" i="1" s="1"/>
  <c r="L22" i="2"/>
  <c r="B25" i="1" s="1"/>
  <c r="I51" i="2"/>
  <c r="B78" i="1" s="1"/>
  <c r="I57" i="2"/>
  <c r="B84" i="1" s="1"/>
  <c r="I30" i="2"/>
  <c r="B57" i="1" s="1"/>
  <c r="M23" i="2"/>
  <c r="C26" i="1" s="1"/>
  <c r="L23" i="2"/>
  <c r="B26" i="1" s="1"/>
  <c r="I23" i="2"/>
  <c r="B50" i="1" s="1"/>
  <c r="M15" i="2"/>
  <c r="C18" i="1" s="1"/>
  <c r="L15" i="2"/>
  <c r="B18" i="1" s="1"/>
  <c r="I15" i="2"/>
  <c r="B42" i="1" s="1"/>
  <c r="M13" i="2"/>
  <c r="C16" i="1" s="1"/>
  <c r="L13" i="2"/>
  <c r="B16" i="1" s="1"/>
  <c r="M19" i="2"/>
  <c r="C22" i="1" s="1"/>
  <c r="L19" i="2"/>
  <c r="B22" i="1" s="1"/>
  <c r="I2" i="2"/>
  <c r="B29" i="1" s="1"/>
  <c r="L2" i="2"/>
  <c r="B5" i="1" s="1"/>
  <c r="M11" i="2"/>
  <c r="C14" i="1" s="1"/>
  <c r="L11" i="2"/>
  <c r="B14" i="1" s="1"/>
  <c r="I11" i="2"/>
  <c r="B38" i="1" s="1"/>
  <c r="I33" i="2"/>
  <c r="B60" i="1" s="1"/>
  <c r="I29" i="2"/>
  <c r="B56" i="1" s="1"/>
  <c r="I39" i="2"/>
  <c r="B66" i="1" s="1"/>
  <c r="I47" i="2"/>
  <c r="B74" i="1" s="1"/>
  <c r="M16" i="2"/>
  <c r="C19" i="1" s="1"/>
  <c r="L16" i="2"/>
  <c r="B19" i="1" s="1"/>
  <c r="I48" i="2"/>
  <c r="B75" i="1" s="1"/>
  <c r="I26" i="2"/>
  <c r="B53" i="1" s="1"/>
  <c r="I50" i="2"/>
  <c r="B77" i="1" s="1"/>
  <c r="M17" i="2"/>
  <c r="C20" i="1" s="1"/>
  <c r="L17" i="2"/>
  <c r="B20" i="1" s="1"/>
  <c r="I17" i="2"/>
  <c r="B44" i="1" s="1"/>
  <c r="I18" i="2"/>
  <c r="B45" i="1" s="1"/>
  <c r="M18" i="2"/>
  <c r="C21" i="1" s="1"/>
  <c r="L18" i="2"/>
  <c r="B21" i="1" s="1"/>
  <c r="I53" i="2"/>
  <c r="B80" i="1" s="1"/>
  <c r="I27" i="2"/>
  <c r="B54" i="1" s="1"/>
  <c r="I14" i="2"/>
  <c r="B41" i="1" s="1"/>
  <c r="M14" i="2"/>
  <c r="C17" i="1" s="1"/>
  <c r="L14" i="2"/>
  <c r="B17" i="1" s="1"/>
  <c r="I8" i="2"/>
  <c r="B35" i="1" s="1"/>
  <c r="M8" i="2"/>
  <c r="C11" i="1" s="1"/>
  <c r="L8" i="2"/>
  <c r="B11" i="1" s="1"/>
  <c r="M12" i="2"/>
  <c r="C15" i="1" s="1"/>
  <c r="L12" i="2"/>
  <c r="B15" i="1" s="1"/>
  <c r="I12" i="2"/>
  <c r="B39" i="1" s="1"/>
  <c r="M9" i="2"/>
  <c r="C12" i="1" s="1"/>
  <c r="L9" i="2"/>
  <c r="B12" i="1" s="1"/>
  <c r="I9" i="2"/>
  <c r="B36" i="1" s="1"/>
  <c r="I45" i="2"/>
  <c r="B72" i="1" s="1"/>
  <c r="L3" i="2"/>
  <c r="B6" i="1" s="1"/>
  <c r="I3" i="2"/>
  <c r="B30" i="1" s="1"/>
  <c r="M21" i="2"/>
  <c r="C24" i="1" s="1"/>
  <c r="L21" i="2"/>
  <c r="B24" i="1" s="1"/>
  <c r="I21" i="2"/>
  <c r="B48" i="1" s="1"/>
  <c r="M24" i="2"/>
  <c r="C27" i="1" s="1"/>
  <c r="L24" i="2"/>
  <c r="B27" i="1" s="1"/>
  <c r="I24" i="2"/>
  <c r="B51" i="1" s="1"/>
  <c r="I35" i="2"/>
  <c r="B62" i="1" s="1"/>
  <c r="I54" i="2"/>
  <c r="B81" i="1" s="1"/>
  <c r="I38" i="2"/>
  <c r="B65" i="1" s="1"/>
  <c r="I44" i="2"/>
  <c r="B71" i="1" s="1"/>
  <c r="I42" i="2"/>
  <c r="B69" i="1" s="1"/>
  <c r="I6" i="2"/>
  <c r="B33" i="1" s="1"/>
  <c r="M6" i="2"/>
  <c r="C9" i="1" s="1"/>
  <c r="L6" i="2"/>
  <c r="B9" i="1" s="1"/>
  <c r="I36" i="2"/>
  <c r="B63" i="1" s="1"/>
</calcChain>
</file>

<file path=xl/comments1.xml><?xml version="1.0" encoding="utf-8"?>
<comments xmlns="http://schemas.openxmlformats.org/spreadsheetml/2006/main">
  <authors>
    <author>作者</author>
  </authors>
  <commentList>
    <comment ref="P1" authorId="0" shapeId="0">
      <text>
        <r>
          <rPr>
            <b/>
            <sz val="9"/>
            <color indexed="81"/>
            <rFont val="宋体"/>
            <family val="3"/>
            <charset val="134"/>
          </rPr>
          <t>作者:</t>
        </r>
        <r>
          <rPr>
            <sz val="9"/>
            <color indexed="81"/>
            <rFont val="宋体"/>
            <family val="3"/>
            <charset val="134"/>
          </rPr>
          <t xml:space="preserve">
C11 DATA BASE</t>
        </r>
      </text>
    </comment>
  </commentList>
</comments>
</file>

<file path=xl/sharedStrings.xml><?xml version="1.0" encoding="utf-8"?>
<sst xmlns="http://schemas.openxmlformats.org/spreadsheetml/2006/main" count="1223" uniqueCount="294">
  <si>
    <t>name</t>
    <phoneticPr fontId="1" type="noConversion"/>
  </si>
  <si>
    <t>state</t>
    <phoneticPr fontId="1" type="noConversion"/>
  </si>
  <si>
    <t>description</t>
    <phoneticPr fontId="1" type="noConversion"/>
  </si>
  <si>
    <t>如何新增lcd驱动</t>
    <phoneticPr fontId="1" type="noConversion"/>
  </si>
  <si>
    <t>请参考文档“unisoc android 8.1 mipi lcd config”</t>
    <phoneticPr fontId="1" type="noConversion"/>
  </si>
  <si>
    <t>是否支持lcd自适应</t>
    <phoneticPr fontId="1" type="noConversion"/>
  </si>
  <si>
    <t>result</t>
    <phoneticPr fontId="1" type="noConversion"/>
  </si>
  <si>
    <t>[QUESTION]</t>
  </si>
  <si>
    <t>[ANSWER]</t>
  </si>
  <si>
    <t>A1</t>
    <phoneticPr fontId="1" type="noConversion"/>
  </si>
  <si>
    <t>A2</t>
    <phoneticPr fontId="1" type="noConversion"/>
  </si>
  <si>
    <t>A3</t>
    <phoneticPr fontId="1" type="noConversion"/>
  </si>
  <si>
    <t>A4</t>
    <phoneticPr fontId="1" type="noConversion"/>
  </si>
  <si>
    <t>A5</t>
    <phoneticPr fontId="1" type="noConversion"/>
  </si>
  <si>
    <t>[ANSWER]</t>
    <phoneticPr fontId="1" type="noConversion"/>
  </si>
  <si>
    <t>选择您的问题</t>
    <phoneticPr fontId="1" type="noConversion"/>
  </si>
  <si>
    <t>产品名称</t>
  </si>
  <si>
    <t>软件版本</t>
  </si>
  <si>
    <t>项目</t>
  </si>
  <si>
    <t>检查内容</t>
  </si>
  <si>
    <t>检查标准</t>
  </si>
  <si>
    <t>硬件状态</t>
  </si>
  <si>
    <t>软件状态</t>
  </si>
  <si>
    <t>展锐base版本编译正常</t>
    <phoneticPr fontId="1" type="noConversion"/>
  </si>
  <si>
    <t>检查结果</t>
    <phoneticPr fontId="1" type="noConversion"/>
  </si>
  <si>
    <t>check list</t>
    <phoneticPr fontId="1" type="noConversion"/>
  </si>
  <si>
    <t>FAQ</t>
    <phoneticPr fontId="1" type="noConversion"/>
  </si>
  <si>
    <t>Q List</t>
    <phoneticPr fontId="1" type="noConversion"/>
  </si>
  <si>
    <t>overview</t>
    <phoneticPr fontId="1" type="noConversion"/>
  </si>
  <si>
    <t>Android 8.1/Android 9.0</t>
    <phoneticPr fontId="1" type="noConversion"/>
  </si>
  <si>
    <t>SC9832E/SC7731E/SC9863A</t>
    <phoneticPr fontId="1" type="noConversion"/>
  </si>
  <si>
    <t>check list</t>
    <phoneticPr fontId="1" type="noConversion"/>
  </si>
  <si>
    <t>A6</t>
    <phoneticPr fontId="1" type="noConversion"/>
  </si>
  <si>
    <t>A7</t>
    <phoneticPr fontId="1" type="noConversion"/>
  </si>
  <si>
    <t>A8</t>
    <phoneticPr fontId="1" type="noConversion"/>
  </si>
  <si>
    <t>A9</t>
    <phoneticPr fontId="1" type="noConversion"/>
  </si>
  <si>
    <t>A10</t>
    <phoneticPr fontId="1" type="noConversion"/>
  </si>
  <si>
    <t>检查结果（请如实填写）</t>
    <phoneticPr fontId="1" type="noConversion"/>
  </si>
  <si>
    <t>以展锐feature list描述为准（feature list请向cpm索取），以其中描述的规格为准，超过标准以实际调试结果为准</t>
    <phoneticPr fontId="1" type="noConversion"/>
  </si>
  <si>
    <t>1、编译环境正常，可正常编译版本</t>
    <phoneticPr fontId="1" type="noConversion"/>
  </si>
  <si>
    <t>1、是否当前平台可支持的规格</t>
    <phoneticPr fontId="1" type="noConversion"/>
  </si>
  <si>
    <t>已支持不同id的lcd自适应，参考“unisoc android 8.1 mipi lcd config”配置即可</t>
    <phoneticPr fontId="1" type="noConversion"/>
  </si>
  <si>
    <t>3、新增lcd驱动后编译下载后软件可以正常开机</t>
    <phoneticPr fontId="1" type="noConversion"/>
  </si>
  <si>
    <t>1、可以连接usb并可以adb shell   2、连接pc投屏软件可以看到手机界面</t>
    <phoneticPr fontId="1" type="noConversion"/>
  </si>
  <si>
    <t>2、编译下载后软件可以正常开机</t>
    <phoneticPr fontId="1" type="noConversion"/>
  </si>
  <si>
    <t>2、下载软件后板子可以正常开机</t>
    <phoneticPr fontId="1" type="noConversion"/>
  </si>
  <si>
    <t>1、可以连接usb并可以adb shell   2、连接pc投屏软件可以看到手机界面</t>
    <phoneticPr fontId="1" type="noConversion"/>
  </si>
  <si>
    <t>如何确认当前平台lcd支持规格</t>
    <phoneticPr fontId="1" type="noConversion"/>
  </si>
  <si>
    <t>FAQ</t>
    <phoneticPr fontId="1" type="noConversion"/>
  </si>
  <si>
    <t>符合规格
参考FAQ "如何确认当前平台lcd支持规格"</t>
    <phoneticPr fontId="1" type="noConversion"/>
  </si>
  <si>
    <t>检查标准</t>
    <phoneticPr fontId="1" type="noConversion"/>
  </si>
  <si>
    <t>Android 8.1/Android 9.0</t>
    <phoneticPr fontId="1" type="noConversion"/>
  </si>
  <si>
    <t>请提交cq,需要提供
1.lcd驱动配置（uboot+kernel都要提供）
2.提供开机uart log(uboot+kernel（log_level=7）)
3.提供ylog
4.check list检查结果及报告</t>
    <phoneticPr fontId="1" type="noConversion"/>
  </si>
  <si>
    <t>SC9832E/SC7731E/SC9863A</t>
    <phoneticPr fontId="1" type="noConversion"/>
  </si>
  <si>
    <t>Android 8.1/Android 9.0</t>
    <phoneticPr fontId="1" type="noConversion"/>
  </si>
  <si>
    <t>A8</t>
    <phoneticPr fontId="1" type="noConversion"/>
  </si>
  <si>
    <t>SC9832E/SC7731E/SC9863A</t>
    <phoneticPr fontId="1" type="noConversion"/>
  </si>
  <si>
    <t>Android 8.1/Android 9.0</t>
    <phoneticPr fontId="1" type="noConversion"/>
  </si>
  <si>
    <t>A11</t>
    <phoneticPr fontId="1" type="noConversion"/>
  </si>
  <si>
    <t>A12</t>
    <phoneticPr fontId="1" type="noConversion"/>
  </si>
  <si>
    <t>A13</t>
    <phoneticPr fontId="1" type="noConversion"/>
  </si>
  <si>
    <t>A14</t>
    <phoneticPr fontId="1" type="noConversion"/>
  </si>
  <si>
    <t>A15</t>
    <phoneticPr fontId="1" type="noConversion"/>
  </si>
  <si>
    <t>A16</t>
    <phoneticPr fontId="1" type="noConversion"/>
  </si>
  <si>
    <t>A17</t>
    <phoneticPr fontId="1" type="noConversion"/>
  </si>
  <si>
    <t>A18</t>
    <phoneticPr fontId="1" type="noConversion"/>
  </si>
  <si>
    <t>A19</t>
    <phoneticPr fontId="1" type="noConversion"/>
  </si>
  <si>
    <t>A20</t>
    <phoneticPr fontId="1" type="noConversion"/>
  </si>
  <si>
    <t>[ANSWER]</t>
    <phoneticPr fontId="1" type="noConversion"/>
  </si>
  <si>
    <t>A15</t>
    <phoneticPr fontId="1" type="noConversion"/>
  </si>
  <si>
    <t>A14</t>
    <phoneticPr fontId="1" type="noConversion"/>
  </si>
  <si>
    <t>A13</t>
    <phoneticPr fontId="1" type="noConversion"/>
  </si>
  <si>
    <t>A12</t>
    <phoneticPr fontId="1" type="noConversion"/>
  </si>
  <si>
    <t>table</t>
    <phoneticPr fontId="1" type="noConversion"/>
  </si>
  <si>
    <t>FAQ</t>
    <phoneticPr fontId="1" type="noConversion"/>
  </si>
  <si>
    <t>问题表</t>
    <phoneticPr fontId="1" type="noConversion"/>
  </si>
  <si>
    <t>15个</t>
    <phoneticPr fontId="1" type="noConversion"/>
  </si>
  <si>
    <t>20个</t>
    <phoneticPr fontId="1" type="noConversion"/>
  </si>
  <si>
    <t>硬件状态</t>
    <phoneticPr fontId="1" type="noConversion"/>
  </si>
  <si>
    <t>软件状态</t>
    <phoneticPr fontId="1" type="noConversion"/>
  </si>
  <si>
    <t>10个</t>
    <phoneticPr fontId="1" type="noConversion"/>
  </si>
  <si>
    <t>10个</t>
    <phoneticPr fontId="1" type="noConversion"/>
  </si>
  <si>
    <t>支持列表</t>
    <phoneticPr fontId="1" type="noConversion"/>
  </si>
  <si>
    <t>password</t>
    <phoneticPr fontId="1" type="noConversion"/>
  </si>
  <si>
    <t>不公开</t>
    <phoneticPr fontId="1" type="noConversion"/>
  </si>
  <si>
    <t>A1~A15</t>
    <phoneticPr fontId="1" type="noConversion"/>
  </si>
  <si>
    <t>data表</t>
    <phoneticPr fontId="1" type="noConversion"/>
  </si>
  <si>
    <t>不公开</t>
    <phoneticPr fontId="1" type="noConversion"/>
  </si>
  <si>
    <t>主页表</t>
    <phoneticPr fontId="1" type="noConversion"/>
  </si>
  <si>
    <t>新增LCD无法点亮</t>
    <phoneticPr fontId="1" type="noConversion"/>
  </si>
  <si>
    <t>OWNER&amp;检查结果</t>
    <phoneticPr fontId="1" type="noConversion"/>
  </si>
  <si>
    <t>硬件AE</t>
    <phoneticPr fontId="1" type="noConversion"/>
  </si>
  <si>
    <t>1、lcd/backlight相关各个pin脚的连接</t>
    <phoneticPr fontId="1" type="noConversion"/>
  </si>
  <si>
    <t>lcd ic fae</t>
    <phoneticPr fontId="1" type="noConversion"/>
  </si>
  <si>
    <t>lcd ic fae、硬件AE</t>
    <phoneticPr fontId="1" type="noConversion"/>
  </si>
  <si>
    <t>5、lcd的初始化参数init data是否正常</t>
    <phoneticPr fontId="1" type="noConversion"/>
  </si>
  <si>
    <t>6、mipi clk、mipi data波形是否符合要求</t>
    <phoneticPr fontId="1" type="noConversion"/>
  </si>
  <si>
    <t>测量mipi波形是否符合lcd ic的要求，如clk是否连续时钟、data是否每行回一次lp</t>
    <phoneticPr fontId="1" type="noConversion"/>
  </si>
  <si>
    <t>测量解析波形，init data是否正常发出，每行命令的data type是否符合ic的要求。
下初始化参数期间mipi clk是否符合lcd ic要求的lp或者hs模式。
Lcd ic内部是否有可供测量的接收到init data而生效的pin脚，以便检查是否是lcd ic内部问题。</t>
    <phoneticPr fontId="1" type="noConversion"/>
  </si>
  <si>
    <t>7、lcd ic内部电压时序是否正常</t>
    <phoneticPr fontId="1" type="noConversion"/>
  </si>
  <si>
    <t>由屏厂测量确认lcd ic内部时序情况是否正常。此点和平台端无关。</t>
    <phoneticPr fontId="1" type="noConversion"/>
  </si>
  <si>
    <t>3、lcd的所有供电电压、复位、上电时序、延时等是否正常</t>
    <phoneticPr fontId="1" type="noConversion"/>
  </si>
  <si>
    <t>测量波形解析要读的寄存器和回读的值。
可先强制返回正确id观察后续显示情况。</t>
    <phoneticPr fontId="1" type="noConversion"/>
  </si>
  <si>
    <t>pin脚无虚焊，无错接。尤其是有转接fpc的一定和核实是否无错接</t>
    <phoneticPr fontId="1" type="noConversion"/>
  </si>
  <si>
    <t>2、屏的背光是否亮</t>
    <phoneticPr fontId="1" type="noConversion"/>
  </si>
  <si>
    <t>若背光不亮，首先确认贵司使用的背光方式和我司参考设计是否相同。若不同请提cq附上差异说明再由我司软件fae协助bringup；若相同请硬件测量背光的输入脚如pwm信号、输出脚如led+/-脚。背光不亮时也可先接外供电源使其常亮再去check lcd显示。</t>
    <phoneticPr fontId="1" type="noConversion"/>
  </si>
  <si>
    <t>测量相关信号是否符合lcd ic的要求，这点找屏厂fae确认，若需修改时序等请提cq由我司软件fae协助处理。</t>
    <phoneticPr fontId="1" type="noConversion"/>
  </si>
  <si>
    <t>4、读lcd id是否正常</t>
    <phoneticPr fontId="1" type="noConversion"/>
  </si>
  <si>
    <t>1、屏的背光是否亮</t>
    <phoneticPr fontId="1" type="noConversion"/>
  </si>
  <si>
    <t xml:space="preserve">关键词"sprd backlight power on. pwm_index=1  brightness=25"具体驱动文件在u-boot15/board/spreadtrum/board名/sprd_bl.c </t>
    <phoneticPr fontId="1" type="noConversion"/>
  </si>
  <si>
    <t>软件FAE</t>
    <phoneticPr fontId="1" type="noConversion"/>
  </si>
  <si>
    <t>软件FAE</t>
    <phoneticPr fontId="1" type="noConversion"/>
  </si>
  <si>
    <t>2、读id是否成功</t>
    <phoneticPr fontId="1" type="noConversion"/>
  </si>
  <si>
    <t>串口log uboot中lcd相关的关键词"sprdfb"
一般"read id success"表示成功，"read id failed!"表示失败。函数是lcd驱动文件内的xx_readid，可以先强制返回正确id观察后续显示情况</t>
    <phoneticPr fontId="1" type="noConversion"/>
  </si>
  <si>
    <t>3、正确配置mipi data clk和pixel clk</t>
    <phoneticPr fontId="1" type="noConversion"/>
  </si>
  <si>
    <t>可参考FAQ112533。注意一点就是pixel_clk的配置不能想当然的按照(witdh+hfp+hbp+hsync)*(height+vfp+vbp+vsync)*fps算出来多少就配置多少，而是要调整porch或者fps算出一个能被global_dispc.c文件中的dpi时钟源整数分频的值</t>
    <phoneticPr fontId="1" type="noConversion"/>
  </si>
  <si>
    <t>4、logo图片资源以及xml分区大小是否正常</t>
    <phoneticPr fontId="1" type="noConversion"/>
  </si>
  <si>
    <t>正常情况会有打印如"Display-bmp: 1080 x 1920  with 256 colors, display 65536"等，若xml文件内logo分区太小或者logo图片资源格式不对，log会报error</t>
    <phoneticPr fontId="1" type="noConversion"/>
  </si>
  <si>
    <t>5、读写命令的函数是否正常执行</t>
    <phoneticPr fontId="1" type="noConversion"/>
  </si>
  <si>
    <t>如写命令失败会报如"sprdfb_dsi_gen_write error"  "tx payload fifo is not empty"等，一般可能是panel没有复位成功或者dsi模块没有正常供电。</t>
    <phoneticPr fontId="1" type="noConversion"/>
  </si>
  <si>
    <t>6、有问题如需展锐协助分析</t>
    <phoneticPr fontId="1" type="noConversion"/>
  </si>
  <si>
    <t>fps/pixel_clk如何正确配置</t>
    <phoneticPr fontId="1" type="noConversion"/>
  </si>
  <si>
    <t xml:space="preserve">
参考FAQ112533，注意走sprd目录下lcd驱动文件的没有fps配置项了，而是根据pixel_clk除以总宽总高得到。</t>
    <phoneticPr fontId="1" type="noConversion"/>
  </si>
  <si>
    <t>采用I2C通信的外部偏压IC如何配置</t>
    <phoneticPr fontId="1" type="noConversion"/>
  </si>
  <si>
    <t xml:space="preserve">参考u-boot15/drivers/video/sprdfb/lcd/lcd_nt35532_mipi.c文件中readid函数内的
i2c_set_bus_num
i2c_init
i2c_reg_write
i2c_reg_read
</t>
    <phoneticPr fontId="1" type="noConversion"/>
  </si>
  <si>
    <t>init code如何配置为dcs或gen的发送方式</t>
    <phoneticPr fontId="1" type="noConversion"/>
  </si>
  <si>
    <t>一般默认为GEN方式，修改为DCS参考(sprdfb):
uboot位置
drivers\video\sprdfb\lcd\lcd_xxx_mipi.c
drivers\video\sprd\lcd\lcd_xxx_mipi.c
在对应的lcd驱动配置中xxx_mipi_init
+       mipi_dcs_write_t mipi_dcs_write = self-&gt;info.mipi-&gt;ops-&gt;mipi_dcs_write;
-                       mipi_gen_write(init-&gt;data, (init-&gt;tag &amp; LCM_TAG_MASK));
+                       mipi_dcs_write(init-&gt;data, (init-&gt;tag &amp; LCM_TAG_MASK));
kernel位置
drivers\video\adf\sprd\drv\panel-if\panel_ops_mipi.c
static int mipi_dsi_send_cmds(struct sprd_dsi *dsi, struct panel_cmds *in_cmds)
                return -1;
        for (i = 0; i &lt; in_cmds-&gt;cmd_total; i++) {
-               mipi_dsi_gen_write(dsi, in_cmds-&gt;cmds[i].payload,
+               mipi_dsi_dcs_write(dsi, in_cmds-&gt;cmds[i].payload,</t>
    <phoneticPr fontId="1" type="noConversion"/>
  </si>
  <si>
    <t>mipi速率/clk如何正确配置</t>
    <phoneticPr fontId="1" type="noConversion"/>
  </si>
  <si>
    <t>如何修改uboot和kernel启动阶段的背光</t>
    <phoneticPr fontId="1" type="noConversion"/>
  </si>
  <si>
    <t xml:space="preserve">如下默认是25，修改为想要的值即可（0～255）
u-boot15/include/boot_mode.h
#define BACKLIGHT_ON 25
kernel/arch/arm/boot/dts/sp9832e-common.dtsi
default-brightness-level = &lt;25&gt;;
</t>
    <phoneticPr fontId="1" type="noConversion"/>
  </si>
  <si>
    <t>串口log分析</t>
    <phoneticPr fontId="1" type="noConversion"/>
  </si>
  <si>
    <t>新增一个lcd如何配置</t>
    <phoneticPr fontId="1" type="noConversion"/>
  </si>
  <si>
    <t>LCD显示异常</t>
    <phoneticPr fontId="1" type="noConversion"/>
  </si>
  <si>
    <t>既然能显示了，一般硬件没什么问题了，就具体问题具体分析</t>
    <phoneticPr fontId="1" type="noConversion"/>
  </si>
  <si>
    <t>1、硬件检查</t>
    <phoneticPr fontId="1" type="noConversion"/>
  </si>
  <si>
    <t>2、是否闪屏</t>
    <phoneticPr fontId="1" type="noConversion"/>
  </si>
  <si>
    <t>3、某些异常可以做交叉实验</t>
    <phoneticPr fontId="1" type="noConversion"/>
  </si>
  <si>
    <t>需要确认是lcd显示闪还是背光闪，背光可以外供恒压电源以此来辨别是谁闪。</t>
    <phoneticPr fontId="1" type="noConversion"/>
  </si>
  <si>
    <t>4、TE静电检测导致的异常</t>
    <phoneticPr fontId="1" type="noConversion"/>
  </si>
  <si>
    <t>我司平台目前只支持TE信号静电检测，TE中断是上升沿触发，请测量检查lcd模组上的TE信号是否输出正常，一般是约16ms的周期方波</t>
    <phoneticPr fontId="1" type="noConversion"/>
  </si>
  <si>
    <t>硬件AE、lcd ic fae</t>
    <phoneticPr fontId="1" type="noConversion"/>
  </si>
  <si>
    <t>5、水印、极化等</t>
    <phoneticPr fontId="1" type="noConversion"/>
  </si>
  <si>
    <t>请lcd ic fae协助排查</t>
    <phoneticPr fontId="1" type="noConversion"/>
  </si>
  <si>
    <t>lcd ic fae</t>
    <phoneticPr fontId="1" type="noConversion"/>
  </si>
  <si>
    <t>1、偏屏、闪屏</t>
    <phoneticPr fontId="1" type="noConversion"/>
  </si>
  <si>
    <t>排查porch timing、mipi 速率是否符合要求</t>
    <phoneticPr fontId="1" type="noConversion"/>
  </si>
  <si>
    <t>2、检查pixel_clk、fps、mipi clk配置是否正确</t>
    <phoneticPr fontId="1" type="noConversion"/>
  </si>
  <si>
    <t>参考“新增lcd无法点亮”中的计算</t>
    <phoneticPr fontId="1" type="noConversion"/>
  </si>
  <si>
    <t>3、uboot到kernel切换时logo闪偏等</t>
    <phoneticPr fontId="1" type="noConversion"/>
  </si>
  <si>
    <t>检测uboot和kernel的lcd驱动文件内的porch 、mipi clk、dpi时钟源是否一致</t>
    <phoneticPr fontId="1" type="noConversion"/>
  </si>
  <si>
    <t>4、以上检查后，如需展锐协助分析</t>
    <phoneticPr fontId="1" type="noConversion"/>
  </si>
  <si>
    <t>某些异常显示，log中无异常基本排除软件导致时，可以交叉实验来确认是跟着主板还是外设lcd走，以此定位下一步排查方向</t>
    <phoneticPr fontId="1" type="noConversion"/>
  </si>
  <si>
    <t>TE 静电检测问题</t>
    <phoneticPr fontId="1" type="noConversion"/>
  </si>
  <si>
    <t>在线调试porch或读写寄存器</t>
    <phoneticPr fontId="1" type="noConversion"/>
  </si>
  <si>
    <t>adb root
adb shell
s9863a3h10:/sys/class/display/panel0 # cat hporch
hfp=176 hbp=16 hsync=10
s9863a3h10:/sys/class/display/panel0 # cat vporch
vfp=32 vbp=32 vsync=4
s9863a3h10:/sys/class/display/panel0 # echo 50 40 30 &gt; hporch
s9863a3h10:/sys/class/display/panel0 # echo 30 20 10 &gt; vporch
s9863a3h10:/sys/class/display/panel0 # cat hporch
hfp=50 hbp=40 hsync=30
s9863a3h10:/sys/class/display/panel0 # cat vporch
vfp=30 vbp=20 vsync=10
echo进新的porch值后要按键灭屏唤醒一下才能生效
写lcd寄存器：
s9863a3h10:/sys/class/display/dsi0 # echo 0x28 &gt; gen_write
s9863a3h10:/sys/class/display/dsi0 # echo 0x29 &gt; gen_write
读lcd寄存器：
s9863a3h10:/sys/class/display/dsi0 # echo 0xf4 1 &gt; gen_read
s9863a3h10:/sys/class/display/dsi0 # cat gen_read
data[0] = 0x96
s9863a3h10:/sys/class/display/dsi0 # echo 0x0a 2 &gt; gen_read
s9863a3h10:/sys/class/display/dsi0 # cat gen_read
data[0] = 0x9c
data[1] = 0x00</t>
    <phoneticPr fontId="1" type="noConversion"/>
  </si>
  <si>
    <t xml:space="preserve">s9863a3h10:/ # cat proc/cmdline  可查看uboot识别到的lcd的id name size pixel 等
lcd_id=ID96 lcd_name=lcd_nt35596_boe_mipi_fhd lcd_base=9dfd2000 lcd_size=1920x1080 pixel_clock=153600000
s9863a3h10:/sys/class/display/dispc0 # cat actual_fps  实际帧率
60.26
s9863a3h10:/sys/class/backlight/sprd_backlight # cat brightness 查看、设置背光
71
s9863a3h10:/sys/class/backlight/sprd_backlight # echo 255 &gt; brightness
s9863a3h10:/sys/class/backlight/sprd_backlight # cat brightness
255
</t>
    <phoneticPr fontId="1" type="noConversion"/>
  </si>
  <si>
    <t>其他一些lcd的在线查看</t>
    <phoneticPr fontId="1" type="noConversion"/>
  </si>
  <si>
    <t>如何修改dpi时钟源（针对uboot走sprdfb目录的项目）</t>
    <phoneticPr fontId="1" type="noConversion"/>
  </si>
  <si>
    <t>当log中看不出问题时，
连上adb录一下buffer，在电脑上看看录得数据是否也有同样问题，如果录得没问题，那么基本确定是display的问题，如果录得就有同样问题，那么和display无关，可由gpu或者windowmanager模块继续处理。
视频
用adb shell screenrecord /sdcard/demo.mp4 
adb pull /sdcard/demo.mp4
图片
adb shell screencap data/demo.png
adb pull data/demo.png</t>
    <phoneticPr fontId="1" type="noConversion"/>
  </si>
  <si>
    <t>大致判断屏显异常是哪个模块引起的</t>
    <phoneticPr fontId="1" type="noConversion"/>
  </si>
  <si>
    <t>参考FAQ121418</t>
    <phoneticPr fontId="1" type="noConversion"/>
  </si>
  <si>
    <t xml:space="preserve">adb shell dumpsys SurfaceFlinger &gt; demo.txt                 dump图层信息
开机后连上adb 设置loglevel=7 抓串口log：
sp9850ka_1h10:/ # cat proc/sys/kernel/printk
1       4       1       7
sp9850ka_1h10:/ # echo 7 &gt; proc/sys/kernel/printk
sp9850ka_1h10:/ # cat proc/sys/kernel/printk
7       4       1       7
在线抓kernel的log：
adb shell dmesg &gt; D:/dmesg.txt
adb shell cat proc/kmsg &gt; D:/kmsg.txt
cat /proc/interrupts 查看一些中断信息
为了查看dts文件内的变量等到底编译进入没有，可反编译生成dtb为dts文件的命令：
russell.zhao@shanN15:~/sprdroid6.0_trunk_k318_htc_dev3$ out/target/product/sp9860g_htc_semi/obj/KERNEL/scripts/dtc/dtc -I dtb -O dts out/target/product/sp9860g_htc_semi/obj/KERNEL/arch/arm64/boot/dts/sp9860g-htc-semi.dtb &gt; a.dts
russell.zhao@shanN15:~/sprdroid6.0_trunk_k318_htc_dev3$ vi a.dts
查看手机的一些数据：
adb shell dumpsys window displays
adb shell wm size
adb shell getprop ro.sf.lcd_density
adb shell wm density
</t>
    <phoneticPr fontId="1" type="noConversion"/>
  </si>
  <si>
    <t>屏显异常、录的buffer没问题，可以使用以下方法确认是哪个模块引起</t>
    <phoneticPr fontId="1" type="noConversion"/>
  </si>
  <si>
    <t>1、勾选开发者选项Disable HW overlay看现象是否复现
2、不勾选Disable HW overlay，恢复默认选择
adb root
adb remount
adb shell
mv /vendor/lib64/hw/dpu.spxx.so /vendor/lib64/hw/dpu.spxx.so.bak (即重命名dpu hal库文件, xx指当前平台 eg 7731e  )
mv /vendor/lib/hw/dpu.spxx.so /vendor/lib/hw/dpu.spxx.so.bak
 重启手机观察能否复现问题，不复现则是dpu引起。
3、不勾选Disable HW overlay，恢复dpu hal库文件，重命名gsp hal库文件：
adb root
adb remount
adb shell
mv /vendor/lib64/hw/dpu.spxx.so.bak /vendor/lib64/hw/dpu.spxx.so (恢复dpu hal库文件)
mv /vendor/lib/hw/dpu.spxx.so.bak /vendor/lib/hw/dpu.spxx.so
mv /vendor/lib64/hw/gsp.spxx.so /vendor/lib64/hw/gsp.spxx.so.bak (重命名gsp hal库文件)
mv /vendor/lib/hw/gsp.spxx.so /vendor/lib/hw/gsp.spxx.so.bak
 重启手机观察能否复现问题，不复现则是gsp引起</t>
    <phoneticPr fontId="1" type="noConversion"/>
  </si>
  <si>
    <t>[QUESTION]</t>
    <phoneticPr fontId="1" type="noConversion"/>
  </si>
  <si>
    <t>如何修改背光信号pwm的频率</t>
    <phoneticPr fontId="1" type="noConversion"/>
  </si>
  <si>
    <t>kernel/arch/arm/boot/dts/sp7731e-common.dtsi
 sprd_backlight {
  compatible = "pwm-backlight";
  pwms = &lt;&amp;pwms 0 20000&gt;;
这里的20000的单位是ns,就是指周期.
那么这里就是50Khz.</t>
    <phoneticPr fontId="1" type="noConversion"/>
  </si>
  <si>
    <t>软件状态</t>
    <phoneticPr fontId="1" type="noConversion"/>
  </si>
  <si>
    <t>一些debug的命令</t>
    <phoneticPr fontId="1" type="noConversion"/>
  </si>
  <si>
    <t>lcd的dtsi驱动文件内：
need-check-esd = &lt;3&gt;;  3表示打开TE静电检测功能，0关闭。刚点屏时建议关闭，等调好显示后再验此功能。
esd-timeout = &lt;1000&gt;; 延时工作队列中每隔1000ms进行一次静电检测，多长时间检测一次时间可自行调整。
代码中kernel4.4/drivers/video/adf/sprd/drv/sprd_panel.c的esd_work_func函数内等待队列默认是最长等待500ms（大小可自行调整），如果等不到TE中断就会触发恢复机制，log中会出现如下：
TE esd timeout
esd recovery start
esd recovery end
此处一般会出现两类问题：
1、打开TE功能正常使用中会出现“误报”走了recovery流程导致不时的黑一下屏。TE中断是dpu硬件中断，还从没遇到过有TE信号产生却不产生中断的情况。总结原因无非两点，一是lcd模组TE信号产生异常，确实是有时很长时间没有周期方波产生，这点需要联系lcd 的fae去测量TE的信号；二是中断风暴导致的cpu没能及时处理正常的TE中断（这点极少出现），log中有时会打印包括其他模块在内的很多timeout信息。
2、打开TE功能，用几k静电枪打手机，异常花屏了，但是并没有自动恢复。这种情况一般是虽然屏显异常了，但是TE信号还在正常输出，导致平台端正常产生TE中断，所以平台端没有办法规避，需要客户自行想办法，比如是否可以定时的对ic下 11 29等命令.
可以连上adb在线开关esd check：
s9863a3h10:/sys/class/display/panel0 # cat esd_check
current esd: 3
s9863a3h10:/sys/class/display/panel0 # echo 0 &gt; esd_check
s9863a3h10:/sys/class/display/panel0 # cat esd_check
current esd: 0</t>
    <phoneticPr fontId="1" type="noConversion"/>
  </si>
  <si>
    <t>spi lcd点屏异常</t>
    <phoneticPr fontId="1" type="noConversion"/>
  </si>
  <si>
    <t>硬件AE、软件FAE</t>
    <phoneticPr fontId="1" type="noConversion"/>
  </si>
  <si>
    <t>lcd相关pin脚pinmap配置是否正确</t>
    <phoneticPr fontId="1" type="noConversion"/>
  </si>
  <si>
    <t>cs 、clk、 data（sdi或sdo）要配成spi模式，cd（rs）脚要配成gpio模式</t>
    <phoneticPr fontId="1" type="noConversion"/>
  </si>
  <si>
    <t>测量lcd 的spi clk具体是多少</t>
    <phoneticPr fontId="1" type="noConversion"/>
  </si>
  <si>
    <t>硬件AE</t>
    <phoneticPr fontId="1" type="noConversion"/>
  </si>
  <si>
    <t>读id、下init data以及发数据显示时clk是否满足lcd ic要求</t>
    <phoneticPr fontId="1" type="noConversion"/>
  </si>
  <si>
    <t>测量模组TE信号是否正常，如果没有TE信号，屏显会卡住不刷新</t>
    <phoneticPr fontId="1" type="noConversion"/>
  </si>
  <si>
    <t>新增spi lcd如何配置</t>
    <phoneticPr fontId="1" type="noConversion"/>
  </si>
  <si>
    <t>画面不更新</t>
    <phoneticPr fontId="1" type="noConversion"/>
  </si>
  <si>
    <t>lcd模组的TE脚是否连接在平台端的F_MARK脚</t>
    <phoneticPr fontId="1" type="noConversion"/>
  </si>
  <si>
    <t>lcd模组TE信号是否正常发出</t>
    <phoneticPr fontId="1" type="noConversion"/>
  </si>
  <si>
    <t>软件FAE</t>
    <phoneticPr fontId="1" type="noConversion"/>
  </si>
  <si>
    <t>lcd  ic fae、软件FAE</t>
    <phoneticPr fontId="1" type="noConversion"/>
  </si>
  <si>
    <t>请提交cq,需要提供
1.lcd驱动配置（uboot+kernel都要提供）
2.提供开机uart log(uboot+kernel（log_level=7）)
3.提供ylog
4.check list检查结果及报告</t>
    <phoneticPr fontId="1" type="noConversion"/>
  </si>
  <si>
    <t>其他问题</t>
    <phoneticPr fontId="1" type="noConversion"/>
  </si>
  <si>
    <t>请提交cq,需要提供
1.lcd驱动配置（uboot+kernel都要提供）和硬件原理图sch
2.提供开机uart log(uboot+kernel（log_level=7）)
3.提供slog
4.check list检查结果及报告</t>
    <phoneticPr fontId="1" type="noConversion"/>
  </si>
  <si>
    <t>软件FAE</t>
    <phoneticPr fontId="1" type="noConversion"/>
  </si>
  <si>
    <t>软件FAE</t>
    <phoneticPr fontId="1" type="noConversion"/>
  </si>
  <si>
    <t>cs 、clk、 data（sdi或sdo）必须要接在同一组spi通道上，不能如一个接在spi1另一个接在spi2，有cd（rs）脚的可以随便连到任何一个可用的gpio上。要与lcd ic核实使用的lcd ic要使用如下哪种spi模式，并检查对应的连线：
3线9bit I型 接口信号：SCL/CSX/SDA
3线9bit II型接口信号：SCL/CSX /SDO/SDI
4线8bit I型接口信号：SCL/CSX /DCX/SDA
4线8bit II型接口信号：SCL/CSX/DCX/SDO/SDI
3线9bit 2 data Lane 接口信号：SCL/CSX/D0/D1
I型的SDA要接在我平台端的spi_do脚上，能读能发。II型sdo发数据，sdi读id，若sdi没接，也只是不能读id了，强制返回id后不影响接下来的点屏。</t>
    <phoneticPr fontId="1" type="noConversion"/>
  </si>
  <si>
    <t>怎么配置4线8bit II型</t>
    <phoneticPr fontId="1" type="noConversion"/>
  </si>
  <si>
    <t>平台参考机是4线8bit I，4线8bit II型需要在如u-boot15/include/configs/sp9820e_2c10.h把宏
CONFIG_SPIMODE_4WIRE_8BIT_SDIO打开，另外根据硬件连线把pinmap中对应的sdi、sdo配置成spi模式。其他3线的配置请提cq</t>
    <phoneticPr fontId="1" type="noConversion"/>
  </si>
  <si>
    <t>spi屏显示上下偏移，怎么调整显示窗口？</t>
    <phoneticPr fontId="1" type="noConversion"/>
  </si>
  <si>
    <t>怎么降低下初始化参数init data时的速率？</t>
    <phoneticPr fontId="1" type="noConversion"/>
  </si>
  <si>
    <t>某颗lcd ic 在uboot显示正常，灭屏唤醒后就显示异常了，是因为init data没有下成功，
之所以uboot能正常显示，是因为uboot下初始化参数使用的spi 速率是24M，而在kernel中spi速率是48M。
方法就是在kerne里下init data前把spi速率切成24M，下完init data再切回48M：
panel_ops_spi.c (kernel\drivers\video\adf\sprd\drv\panel-if)文件内下初始化前后切换时钟：
static int32_t spi_panel_init(struct panel_device *pd)
{
    struct sprd_spi *spi = dev_get_drvdata(pd-&gt;intf);
    struct panel_info *panel = pd-&gt;panel;
++    struct spi_device *spi_dev = spi-&gt;spi_dev;
++    spi_dev-&gt;max_speed_hz = 24000000;
++    spi_setup(spi_dev);
        spi_panel_send_cmds(spi, panel-&gt;cmd_codes[CMD_CODE_INIT]);
++    spi_dev-&gt;max_speed_hz = 48000000;
++    spi_setup(spi_dev);
    return 0;
}</t>
    <phoneticPr fontId="1" type="noConversion"/>
  </si>
  <si>
    <t>此问题只针对spi已经通的情况下或者屏已经点亮了，但是lcd id读到的全是0, lcd ic 若要求写cmd后cs不能拉低，要保持使能:
sprdfb_spi.c (u-boot15\drivers\video\sprdfb)
static void DISPC_SpiWriteCmd(uint32_t cmd)
{
    sprd_spi_set_data_width(8);
    sprd_spi_set_cs(0, TRUE);
    sprd_gpio_set(NULL, LCM_GPIO_CDPIN,0);
    // Write a data identical with buswidth
    sprd_spi_write_data( &amp;cmd, 1, 0);
-    sprd_spi_set_cs(0, FALSE);  //去掉这一行，保持发完命令后cs一直使能
}</t>
    <phoneticPr fontId="1" type="noConversion"/>
  </si>
  <si>
    <t>spi lcd读不到id，如果要求写完命令cs保持使能的修改</t>
    <phoneticPr fontId="1" type="noConversion"/>
  </si>
  <si>
    <t>检查4线或3线lcd各pin脚连线是否正确</t>
    <phoneticPr fontId="1" type="noConversion"/>
  </si>
  <si>
    <t>切屏问题</t>
    <phoneticPr fontId="1" type="noConversion"/>
  </si>
  <si>
    <t>噪点问题</t>
    <phoneticPr fontId="1" type="noConversion"/>
  </si>
  <si>
    <t>平台端lcd spi clk 48M、分辨率240×320，一般默认帧率为30帧左右。如果切屏了，请排查：
1、loglevel是否是默认的1或者改成0，提高系统性能
2、保证TE自刷新速率小于平台刷新率的2倍，lcd自刷新速率调整请联系lcd 厂商
3、如果lcd模组不能产生TE信号，那么平台端无法解决切屏</t>
    <phoneticPr fontId="1" type="noConversion"/>
  </si>
  <si>
    <t>背光闪的问题</t>
    <phoneticPr fontId="1" type="noConversion"/>
  </si>
  <si>
    <t>1、log中如果出现"dpu wait for reg update done time out!"则表示没有等到TE中断，那么要联合lcd厂排查为什么lcd模组没有产生TE信号。若确实没法产生TE信号，就得修改kernel/drivers/video/adf/sprd/drv/dispc/swdispc.c文件swdispc_wait_te函数内的等待队列的时间，如把500ms改成1ms，或者直接注空返回。
2、卡在logo不更新，若log没有发现异常，那么可能是spi信号完整性信号质量不好，需要尝试修改lcd驱动文件内的spi速率如kernel/arch/arm/boot/dts/lcd/lcd_gc9305_spi_qvga.dtsi，把默认的spi_freq 48M改成24M，再观察能不能刷新</t>
    <phoneticPr fontId="1" type="noConversion"/>
  </si>
  <si>
    <t>spi lcd基本没有出现过屏闪，大都是背光闪，方法是提高背光pwm频率,可参考FAQ117208</t>
    <phoneticPr fontId="1" type="noConversion"/>
  </si>
  <si>
    <t>新增LCD</t>
    <phoneticPr fontId="1" type="noConversion"/>
  </si>
  <si>
    <t>1.是否当前平台可支持的规格</t>
    <phoneticPr fontId="1" type="noConversion"/>
  </si>
  <si>
    <t>2.下载软件后板子可以正常开机</t>
    <phoneticPr fontId="1" type="noConversion"/>
  </si>
  <si>
    <t>1.可以连接usb并可以adb shell   
2.连接pc投屏软件可以看到手机界面</t>
    <phoneticPr fontId="1" type="noConversion"/>
  </si>
  <si>
    <t>1.编译环境正常，可正常编译版本</t>
    <phoneticPr fontId="1" type="noConversion"/>
  </si>
  <si>
    <t>展锐base版本编译正常,可以生成对应的image</t>
    <phoneticPr fontId="1" type="noConversion"/>
  </si>
  <si>
    <t>2.编译下载后软件可以正常开机</t>
    <phoneticPr fontId="1" type="noConversion"/>
  </si>
  <si>
    <t>3.新增lcd驱动后编译下载后软件可以正常开机</t>
    <phoneticPr fontId="1" type="noConversion"/>
  </si>
  <si>
    <t>4.以上检查后，如需展锐协助分析</t>
    <phoneticPr fontId="1" type="noConversion"/>
  </si>
  <si>
    <t>请提交cq,需要提供
1.lcd驱动配置（uboot+kernel都要提供）
2.提供新增修改的所有文件
3.check list检查结果</t>
    <phoneticPr fontId="1" type="noConversion"/>
  </si>
  <si>
    <t>如何新增lcd驱动</t>
    <phoneticPr fontId="1" type="noConversion"/>
  </si>
  <si>
    <t>请参考文档“unisoc android 8.1 mipi lcd config”，可以提交cq索取</t>
    <phoneticPr fontId="1" type="noConversion"/>
  </si>
  <si>
    <t>[QUESTION]</t>
    <phoneticPr fontId="1" type="noConversion"/>
  </si>
  <si>
    <t>采用展锐1.8V供电是否可以调整</t>
    <phoneticPr fontId="1" type="noConversion"/>
  </si>
  <si>
    <t>不可以调整，芯片1.8V为系统供电</t>
    <phoneticPr fontId="1" type="noConversion"/>
  </si>
  <si>
    <t>采用外部偏压IC如何配置</t>
    <phoneticPr fontId="1" type="noConversion"/>
  </si>
  <si>
    <t>一般为i2c接口，代码参考
\u-boot15\drivers\video\sprdfb\lcd\lcd_nt35532_mipi.c
\u-boot15\drivers\video\sprd\lcd\lcd_nt35532_truly_mipi_fhd.c
在xxx_readid函数设置偏压ic,如果需要提前打开偏压ic,可以移到xxx_reset或xxx_power函数中设置</t>
    <phoneticPr fontId="1" type="noConversion"/>
  </si>
  <si>
    <t>一般默认为GEN方式，修改为DCS如下参考:
uboot位置
drivers\video\sprdfb\lcd\lcd_xxx_mipi.c
drivers\video\sprd\lcd\lcd_xxx_mipi.c
在对应的lcd驱动配置中xxx_mipi_init
+       mipi_dcs_write_t mipi_dcs_write = self-&gt;info.mipi-&gt;ops-&gt;mipi_dcs_write;
-                       mipi_gen_write(init-&gt;data, (init-&gt;tag &amp; LCM_TAG_MASK));
+                       //mipi_gen_write(init-&gt;data, (init-&gt;tag &amp; LCM_TAG_MASK));
+                       mipi_dcs_write(init-&gt;data, (init-&gt;tag &amp; LCM_TAG_MASK));
kernel位置
drivers\video\adf\sprd\drv\panel-if\panel_ops_mipi.c
static int mipi_dsi_send_cmds(struct sprd_dsi *dsi, struct panel_cmds *in_cmds)
                return -1;
        for (i = 0; i &lt; in_cmds-&gt;cmd_total; i++) {
-               mipi_dsi_gen_write(dsi, in_cmds-&gt;cmds[i].payload,
+               //mipi_dsi_gen_write(dsi, in_cmds-&gt;cmds[i].payload,
+               //                    in_cmds-&gt;cmds[i].header.len);
+               mipi_dsi_dcs_write(dsi, in_cmds-&gt;cmds[i].payload,
                                      in_cmds-&gt;cmds[i].header.len);</t>
    <phoneticPr fontId="1" type="noConversion"/>
  </si>
  <si>
    <t>请使用“unisoc lcd(mipi) fps-phy_feq计算_c”计算工具，可以提交cq索取</t>
    <phoneticPr fontId="1" type="noConversion"/>
  </si>
  <si>
    <t>adb online debug lcd proch</t>
    <phoneticPr fontId="1" type="noConversion"/>
  </si>
  <si>
    <t>路径：/sys/class/display/panel0
N:\&gt;adb shell
x:/ $ su
x:/ # cd sys/class/display/panel0/
x:/sys/class/display/panel0 #
hporch 
查看hproch配置
# cat hporch
hfp=176 hbp=16 hsync=10
配置hproch
# echo 176 16 10 &gt; hporch   新配置的porch需要睡眠唤醒后生效
vporch 
查看vproch配置
# cat vporch
vfp=32 vbp=32 vsync=4
配置vproch
# echo 32 32 4 &gt; vporch   新配置的porch需要睡眠唤醒后生效</t>
    <phoneticPr fontId="1" type="noConversion"/>
  </si>
  <si>
    <t>log查看lcd 配置</t>
    <phoneticPr fontId="1" type="noConversion"/>
  </si>
  <si>
    <t>抓取开机串口log(kernel log_level=7)
uboot阶段请搜索关键字"sprdfb"
[sprdfb][mipi_dphy_configure] lanes : 4   -- 配置的lan_num为4
[sprdfb][mipi_dphy_configure] freq : 1105000  -- 配置的phy_feq为1105*1000
[sprdfb][ota7290b_boe_fx_readid] ota7290b_boe_fx read id success!  -- 读取id成功
[sprdfb][dispc_clk_update] the actual dpi_clk = 153600000  -- pixel_clk为153600000
kernel阶段请搜索关键字"adf"
[sprd-adf][   panel_info_attach] found lcd7290 panel success!  --匹配到lcd驱动
[sprd-adf][      of_parse_panel] lane_number = 4   -- 配置的lan_num为4
[sprd-adf][      of_parse_panel] phy_freq = 1105000  -- 配置的phy_feq为1105*1000 
[sprd-adf][      of_parse_panel] resolution: 1200 x 1920 --lcd分辨率有1200x1920
[sprd-adf][    sprd_panel_probe] panel probe sucvess
[sprd-adf][      dispc_clk_init] dpi clock is 153600000  -- pixel_clk为153600000</t>
    <phoneticPr fontId="1" type="noConversion"/>
  </si>
  <si>
    <t>硬件参考设计</t>
    <phoneticPr fontId="1" type="noConversion"/>
  </si>
  <si>
    <t>请查看文档“xxxx_Hardware_Design_Guide_xx"以及展锐参考机原理图，如无请向CPM所取</t>
    <phoneticPr fontId="1" type="noConversion"/>
  </si>
  <si>
    <t>SC9832E/SC7731E/SC9863A</t>
    <phoneticPr fontId="1" type="noConversion"/>
  </si>
  <si>
    <t>LCD无法点亮</t>
    <phoneticPr fontId="1" type="noConversion"/>
  </si>
  <si>
    <t>1.请硬件检查各个pin脚的连接</t>
    <phoneticPr fontId="1" type="noConversion"/>
  </si>
  <si>
    <t>无异常
符合展锐参考设计，展锐硬件确认PASS
pin脚无虚焊，无错接</t>
    <phoneticPr fontId="1" type="noConversion"/>
  </si>
  <si>
    <t>2.背光是否可以点亮</t>
    <phoneticPr fontId="1" type="noConversion"/>
  </si>
  <si>
    <t>可以点亮
是否符合展锐参考设计，如有差异请确认差异点硬件设计符合要求，展锐硬件确认PASS，并请软件实现驱动</t>
    <phoneticPr fontId="1" type="noConversion"/>
  </si>
  <si>
    <t>3.测量lcd供电 是否正常</t>
    <phoneticPr fontId="1" type="noConversion"/>
  </si>
  <si>
    <t>供电正常
是否符合展锐参考设计，如有差异请确认差异点硬件设计符合要求，展锐硬件确认PASS，并请软件实现驱动</t>
    <phoneticPr fontId="1" type="noConversion"/>
  </si>
  <si>
    <t>4.测量lcd reset等上电时序是否符合要求</t>
    <phoneticPr fontId="1" type="noConversion"/>
  </si>
  <si>
    <t>上电和reset时序满足要求
是否符合展锐参考设计，如有差异请确认差异点硬件设计符合要求，展锐硬件确认PASS，并请软件实现驱动</t>
    <phoneticPr fontId="1" type="noConversion"/>
  </si>
  <si>
    <t>1.当前编译软件可以正常开机</t>
    <phoneticPr fontId="1" type="noConversion"/>
  </si>
  <si>
    <t>2.抓取uart log，检查lcd id是否可以正常读取</t>
    <phoneticPr fontId="1" type="noConversion"/>
  </si>
  <si>
    <t xml:space="preserve">read id函数中的打印id log 显示 read id success  </t>
    <phoneticPr fontId="1" type="noConversion"/>
  </si>
  <si>
    <t>3.无法读取id,请lcd fae检查读取id配置</t>
    <phoneticPr fontId="1" type="noConversion"/>
  </si>
  <si>
    <t>读取id函数配置正确</t>
    <phoneticPr fontId="1" type="noConversion"/>
  </si>
  <si>
    <t>4.可以正确读取到id,请lcd fae检查init code和其他lcd配置</t>
    <phoneticPr fontId="1" type="noConversion"/>
  </si>
  <si>
    <t>lcd驱动配置正确
请参考文档“unisoc android 8.1 mipi lcd config”检查基本配置
请参考FAQ“fps/pixel_clk如何正确配置”检查配置
请参考FAQ“mipi速率/clk如何正确配置”检查配置
请参考FAQ"log查看lcd 配置"检查关键配置是否生效
请lcd端fae确认init code是否发送成功</t>
    <phoneticPr fontId="1" type="noConversion"/>
  </si>
  <si>
    <t>5.以上检查后，仍无法点亮，请lcd端分析mipi时序</t>
    <phoneticPr fontId="1" type="noConversion"/>
  </si>
  <si>
    <t>lcd fae或driver ic原厂给出分析报告</t>
    <phoneticPr fontId="1" type="noConversion"/>
  </si>
  <si>
    <t>6.以上检查后，如需展锐协助分析</t>
    <phoneticPr fontId="1" type="noConversion"/>
  </si>
  <si>
    <t>LCD开机阶段显示异常指哪些表现</t>
    <phoneticPr fontId="1" type="noConversion"/>
  </si>
  <si>
    <t>1.首先是指lcd已经可以显示
2.logo无法正常显示
3.卡在logo显示界面、动画界面或显示logo后出现异常
4.开机显示过程中出现闪屏</t>
    <phoneticPr fontId="1" type="noConversion"/>
  </si>
  <si>
    <t>LCD开机阶段显示异常</t>
    <phoneticPr fontId="1" type="noConversion"/>
  </si>
  <si>
    <t>1.硬件基本检查</t>
    <phoneticPr fontId="1" type="noConversion"/>
  </si>
  <si>
    <t>LCD开机阶段的显示异常，显然前提是LCD已经是显示了但存在异常。
此case下，硬件基本是没什么问题，主要针对异常情况做些针对性检查</t>
    <phoneticPr fontId="1" type="noConversion"/>
  </si>
  <si>
    <t>2.开机阶段闪屏</t>
    <phoneticPr fontId="1" type="noConversion"/>
  </si>
  <si>
    <t>需要确认是背光闪还是屏闪，背光闪需要硬件做进一步的检查</t>
    <phoneticPr fontId="1" type="noConversion"/>
  </si>
  <si>
    <t>1.检查lcd timming配置是否正确</t>
    <phoneticPr fontId="1" type="noConversion"/>
  </si>
  <si>
    <t>请lcdfae协助检查lcd timing是否正确</t>
    <phoneticPr fontId="1" type="noConversion"/>
  </si>
  <si>
    <t>2.检查pixel_clk或fps配置是否正确</t>
    <phoneticPr fontId="1" type="noConversion"/>
  </si>
  <si>
    <t>参考FAQ"fps/pixel_clk如何正确配置"做检查</t>
    <phoneticPr fontId="1" type="noConversion"/>
  </si>
  <si>
    <t>3.检查phy_feq是否配置正确</t>
    <phoneticPr fontId="1" type="noConversion"/>
  </si>
  <si>
    <t>参考FAQ"mipi速率/clk如何正确配置"做检查</t>
    <phoneticPr fontId="1" type="noConversion"/>
  </si>
  <si>
    <t>4.检查uboot和kernel参数是否配置一致</t>
    <phoneticPr fontId="1" type="noConversion"/>
  </si>
  <si>
    <t>可以参考FAQ"adb online debug lcd proch"获取的值和uboot的配置比对</t>
    <phoneticPr fontId="1" type="noConversion"/>
  </si>
  <si>
    <t>5.以上检查后，如需展锐协助分析</t>
    <phoneticPr fontId="1" type="noConversion"/>
  </si>
  <si>
    <t>LCD开机后显示异常</t>
    <phoneticPr fontId="1" type="noConversion"/>
  </si>
  <si>
    <t>1.首先是指lcd已经可以显示
2.其次是指在开机动画之后</t>
    <phoneticPr fontId="1" type="noConversion"/>
  </si>
  <si>
    <t>如何录制buf数据</t>
    <phoneticPr fontId="1" type="noConversion"/>
  </si>
  <si>
    <t>开机后的显示问题，录制一份显示数据视频，如下操作录制
录制：
   adb shell screenrecord /sdcard/demo.mp4
复现现象
   adb pull /sdcard/demo.mp4</t>
    <phoneticPr fontId="1" type="noConversion"/>
  </si>
  <si>
    <t>LCD开机后显示异常（闪屏、闪白屏、花屏）</t>
    <phoneticPr fontId="1" type="noConversion"/>
  </si>
  <si>
    <t>LCD开机后的显示异常，显然前提是LCD已经是显示了但存在异常。
此case下，硬件基本是没什么问题，主要针对异常情况做些针对性检查</t>
    <phoneticPr fontId="1" type="noConversion"/>
  </si>
  <si>
    <t>5.gpu排查</t>
    <phoneticPr fontId="1" type="noConversion"/>
  </si>
  <si>
    <t>勾选Disable HW overlay看现象是否复现</t>
    <phoneticPr fontId="1" type="noConversion"/>
  </si>
  <si>
    <t>6.dpu排查</t>
    <phoneticPr fontId="1" type="noConversion"/>
  </si>
  <si>
    <t>1.不勾选Disable HW overlay
2. adb root
3. adb remount
4. adb shell
5. mv /vendor/lib64/hw/dpu.spxx.so /vendor/lib64/hw/dpu.spxx.so.bak (即重命名dpu hal库文件, xx指当前平台 eg 7731e  )
6. mv /vendor/lib/hw/dpu.spxx.so /vendor/lib/hw/dpu.spxx.so.bak
 重启手机观察能否复现问题</t>
    <phoneticPr fontId="1" type="noConversion"/>
  </si>
  <si>
    <t>7.gsp排查</t>
    <phoneticPr fontId="1" type="noConversion"/>
  </si>
  <si>
    <t>恢复dpu hal库文件，重命名gsp hal库文件：
1.不勾选Disable HW overlay
2. adb root
3. adb remount
4. adb shell
5. mv /vendor/lib64/hw/dpu.spxx.so.bak /vendor/lib64/hw/dpu.spxx.so (恢复dpu hal库文件)
   mv /vendor/lib/hw/dpu.spxx.so.bak /vendor/lib/hw/dpu.spxx.so
6. mv /vendor/lib64/hw/gsp.spxx.so /vendor/lib64/hw/gsp.spxx.so.bak (重命名gsp hal库文件)
   mv /vendor/lib/hw/gsp.spxx.so /vendor/lib/hw/gsp.spxx.so.bak
 重启手机观察能否复现问题</t>
    <phoneticPr fontId="1" type="noConversion"/>
  </si>
  <si>
    <t>8.以上检查后，如需展锐协助分析</t>
    <phoneticPr fontId="1" type="noConversion"/>
  </si>
  <si>
    <t>请提交cq,需要提供
1.lcd驱动配置（uboot+kernel都要提供）
2.提供开机uart log(uboot+kernel（log_level=7）)
3.提供ylog
4.提供现象小视频
5.录制一份buf数据请参考FAQ"如何录制buf数据"
4.check list检查结果及报告</t>
    <phoneticPr fontId="1" type="noConversion"/>
  </si>
  <si>
    <t>spi lcd点屏异常</t>
  </si>
  <si>
    <t>请参考我司发布的对应平台的客户化配置文档等, 若没有请提cq</t>
    <phoneticPr fontId="1" type="noConversion"/>
  </si>
  <si>
    <t>spi速率和spi lcd的帧率介绍</t>
    <phoneticPr fontId="1" type="noConversion"/>
  </si>
  <si>
    <t>sc9820e、sl8521e、sl8541e、sc9832e的spi1是48M,spi0和spi2是24M.
理论帧率计算:fps=SPI_CLK*K/(W*H*T)*η
如用的spi1则SPI_CLK是48M；K是数据线数，仅3线9bit 2 data Lane型是2，其他的都是1；W是分辨率像素宽，H分辨率像素高，T是一个像素的bit数，如rgb565，则T是16；η是数据传输的效率值，通常是0.8.
那么我们参考设计4线8bit I型，spi1 240×320的rgb565 lcd的帧率是48M×1÷(240×320×16)×0.8约31帧。</t>
    <phoneticPr fontId="1" type="noConversion"/>
  </si>
  <si>
    <t xml:space="preserve">kernel默认spi时钟48M如果就有噪点要找屏厂看看该ic是否支持48M，一般是降低spi clk能解决，位置如
kernel/arch/arm/boot/dts/lcd/lcd_gc9305_spi_qvga.dtsi文件中的spi_freq
</t>
    <phoneticPr fontId="1" type="noConversion"/>
  </si>
  <si>
    <t>检查TE脚是否连接正常，pinmap中FMARK脚要配成gpio模式，否则可能会导致无法同步刷屏</t>
    <phoneticPr fontId="1" type="noConversion"/>
  </si>
  <si>
    <t>测量spi信号timing和信号完整性</t>
    <phoneticPr fontId="1" type="noConversion"/>
  </si>
  <si>
    <t>硬件AE</t>
    <phoneticPr fontId="1" type="noConversion"/>
  </si>
  <si>
    <t>开机后画面若卡在logo不更新</t>
    <phoneticPr fontId="1" type="noConversion"/>
  </si>
  <si>
    <t>参考发布的对应平台的客户化配置文档等，如果没有的请提cq</t>
    <phoneticPr fontId="1" type="noConversion"/>
  </si>
  <si>
    <t>由于spi lcd ic和模组配置不一致导致的上下左右偏移问题均可通过配置2a 2b寄存器的值来调整。
举例如lcd显示往下偏移了40个像素，修改方法：
1、
lcd_gc9305_spi.c (u-boot15\drivers\video\sprdfb\lcd) 
static int32_t gc9305_set_window(struct panel_spec *self,
        uint16_t left, uint16_t top, uint16_t right, uint16_t bottom)
{
    GC9305_SpiWriteCmd(0x2B);
    GC9305_SpiWriteData((top&gt;&gt;8));// set left address
    GC9305_SpiWriteData((top&amp;0xff) + 0x28);          //这里+ 0x28
    GC9305_SpiWriteData((bottom&gt;&gt;8));// set bottom address
    GC9305_SpiWriteData((bottom&amp;0xff) + 0x28);       //这里+ 0x28
    GC9305_SpiWriteCmd(0x2C);
2、
sprd_spi_intf.c (kernel\drivers\video\adf\sprd\drv)
static unsigned char sprd_refresh_data[][4] = { { 0x00, 0x00, 0x00, 0xef },
                    { 0x00, 0x28, 0x01, 0x3f } };  //第1行1列[1][1]+ 0x28
static int sprd_spi_config(struct panel_info *panel)
{
...
    sprd_refresh_data[1][3] = (height - 1) &amp; 0xff + 0x28;    //这行值+ 0x28
...</t>
    <phoneticPr fontId="1" type="noConversion"/>
  </si>
  <si>
    <r>
      <t xml:space="preserve">
lcd驱动文件中phy_freq或者clock-frequency是表示单lane的mipi data速率，clk是它的一半。
Dpi_need_clk=(witdh+hfp+hbp+hsync)*(height+vfp+vbp+vsync)*fps
dividor = DPI_CLK_SRC/Dpi_need_clk;
if(DPI_CLK_SRC - dividor*Dpi_need_clk &gt; (Dpi_need_clk/2) ) {
 dividor += 1;
}
(DPI_CLK_SRC/dividor)x 3x 8 bit &lt; </t>
    </r>
    <r>
      <rPr>
        <b/>
        <sz val="11"/>
        <color theme="1"/>
        <rFont val="微软雅黑"/>
        <family val="2"/>
        <charset val="134"/>
      </rPr>
      <t>phy_feq</t>
    </r>
    <r>
      <rPr>
        <sz val="11"/>
        <color theme="1"/>
        <rFont val="微软雅黑"/>
        <family val="2"/>
        <charset val="134"/>
      </rPr>
      <t xml:space="preserve"> x lane_num x 0.9</t>
    </r>
    <phoneticPr fontId="1" type="noConversion"/>
  </si>
  <si>
    <t>关键词"sprdfb"   "adf"
走sprdfb目录的：
do_cboot(): enter boot mode 2    ---进入的哪种开机模式
adapt_panel_from_readid(): sprdfb: [adapt_panel_from_readid]: try panel 0x9881       ---尝试匹配lcd9881
dispc_update_clock(): sprdfb:[dispc_update_clock] need_clock = 63996480, dividor = 2, dpi_clock = 64000000   ---dividor×dpi_clock=128M 即选取的128M时钟源
adapt_panel_from_readid(): sprdfb: [adapt_panel_from_readid]: LCD Panel 0x9881 is attached!          ---匹配到正确的id
hdr_size=40, bmp_bpix=8            ---8位深bmp图片
Display-bmp: 720 x 1280  with 256 colors, display 65536
sprdfb_dispc_refresh(): sprdfb:[sprdfb_dispc_refresh]  ---dispc开始刷图
sprd backlight power on. pwm_index=1  brightness=25 ---uboot背光值25
走sprd目录的：
[sprdfb][mipi_dphy_configure] lanes : 4   ---lane数
[sprdfb][mipi_dphy_configure] freq : 1000000   ---mipi data速率是1000M
[sprdfb][nt35596_readid] nt35596 read id success!   ---读id成功
[sprdfb][sprd_panel_probe] attach panel 0x96 success  ----匹配到正确的id
[sprdfb][dispc_clk_init] DPI_CLK_SRC = 153600000  ----dpi时钟源
[sprdfb][dispc_clk_update] the actual dpi_clk = 153600000  ---分频后的dpi时钟即pixel_clk
[    0.000000] c0     0 [sprd-adf][          lcd_id_get] LCD ID from uboot: 0x96 ---从uboot传过来的lcd id
[    0.000000] c0     0 [sprd-adf][       pixel_clk_get] pixel clock from uboot: 153600000 ---从uboot传过来的pixel_clk
[    3.212072] c4     1 [sprd-adf][   panel_info_attach] found lcd96 panel success!  ---kernel中匹配到和uboot一致的lcd id
[    3.233019] c4     1 [sprd-adf][      dispc_clk_init] DPU_CORE_CLK = 384000000, DPI_CLK_SRC = 153600000 ---dpi 时钟源是153.6M
[    3.233024] c4     1 [sprd-adf][      dispc_clk_init] dpi clock is 153600000  -pixel_clk是153.6M"</t>
    <phoneticPr fontId="1" type="noConversion"/>
  </si>
  <si>
    <t>MOCOR5/Android4.4等</t>
    <phoneticPr fontId="1" type="noConversion"/>
  </si>
  <si>
    <t>SC9820E/SL8521E等支持spi lcd系列</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</si>
</sst>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宋体"/>
      <family val="2"/>
      <scheme val="minor"/>
    </font>
    <font>
      <sz val="9"/>
      <name val="宋体"/>
      <family val="3"/>
      <charset val="134"/>
      <scheme val="minor"/>
    </font>
    <font>
      <b/>
      <sz val="11"/>
      <color theme="1"/>
      <name val="微软雅黑"/>
      <family val="2"/>
      <charset val="134"/>
    </font>
    <font>
      <b/>
      <sz val="11"/>
      <color rgb="FF7030A0"/>
      <name val="微软雅黑"/>
      <family val="2"/>
      <charset val="134"/>
    </font>
    <font>
      <sz val="11"/>
      <color theme="1"/>
      <name val="微软雅黑"/>
      <family val="2"/>
      <charset val="134"/>
    </font>
    <font>
      <u/>
      <sz val="11"/>
      <color theme="10"/>
      <name val="宋体"/>
      <family val="2"/>
      <scheme val="minor"/>
    </font>
    <font>
      <b/>
      <sz val="12"/>
      <color theme="1"/>
      <name val="微软雅黑"/>
      <family val="2"/>
      <charset val="134"/>
    </font>
    <font>
      <b/>
      <sz val="16"/>
      <color rgb="FF7030A0"/>
      <name val="微软雅黑"/>
      <family val="2"/>
      <charset val="134"/>
    </font>
    <font>
      <b/>
      <sz val="16"/>
      <color theme="1" tint="4.9989318521683403E-2"/>
      <name val="微软雅黑"/>
      <family val="2"/>
      <charset val="134"/>
    </font>
    <font>
      <sz val="10.5"/>
      <color theme="1"/>
      <name val="微软雅黑"/>
      <family val="2"/>
      <charset val="134"/>
    </font>
    <font>
      <b/>
      <sz val="10.5"/>
      <color theme="1"/>
      <name val="微软雅黑"/>
      <family val="2"/>
      <charset val="134"/>
    </font>
    <font>
      <b/>
      <sz val="12"/>
      <color theme="1" tint="4.9989318521683403E-2"/>
      <name val="微软雅黑"/>
      <family val="2"/>
      <charset val="134"/>
    </font>
    <font>
      <sz val="9"/>
      <color indexed="81"/>
      <name val="宋体"/>
      <family val="3"/>
      <charset val="134"/>
    </font>
    <font>
      <b/>
      <sz val="9"/>
      <color indexed="81"/>
      <name val="宋体"/>
      <family val="3"/>
      <charset val="134"/>
    </font>
    <font>
      <sz val="16"/>
      <color theme="1"/>
      <name val="微软雅黑"/>
      <family val="2"/>
      <charset val="134"/>
    </font>
    <font>
      <sz val="20"/>
      <color theme="1"/>
      <name val="微软雅黑"/>
      <family val="2"/>
      <charset val="134"/>
    </font>
    <font>
      <b/>
      <sz val="16"/>
      <color theme="1"/>
      <name val="微软雅黑"/>
      <family val="2"/>
      <charset val="134"/>
    </font>
    <font>
      <sz val="12"/>
      <color theme="1"/>
      <name val="微软雅黑"/>
      <family val="2"/>
      <charset val="134"/>
    </font>
    <font>
      <sz val="14"/>
      <color theme="1"/>
      <name val="微软雅黑"/>
      <family val="2"/>
      <charset val="134"/>
    </font>
    <font>
      <b/>
      <sz val="16"/>
      <color rgb="FFFF0000"/>
      <name val="微软雅黑"/>
      <family val="2"/>
      <charset val="134"/>
    </font>
    <font>
      <sz val="12"/>
      <color rgb="FFFF0000"/>
      <name val="微软雅黑"/>
      <family val="2"/>
      <charset val="134"/>
    </font>
    <font>
      <sz val="12"/>
      <color rgb="FFFF0000"/>
      <name val="宋体"/>
      <family val="2"/>
      <scheme val="minor"/>
    </font>
    <font>
      <b/>
      <sz val="14"/>
      <color theme="1"/>
      <name val="微软雅黑"/>
      <family val="2"/>
      <charset val="134"/>
    </font>
    <font>
      <sz val="10.5"/>
      <name val="微软雅黑"/>
      <family val="2"/>
      <charset val="134"/>
    </font>
    <font>
      <sz val="11"/>
      <name val="宋体"/>
      <family val="2"/>
      <scheme val="minor"/>
    </font>
    <font>
      <sz val="11"/>
      <name val="宋体"/>
      <family val="3"/>
      <charset val="134"/>
      <scheme val="minor"/>
    </font>
    <font>
      <sz val="9"/>
      <color theme="1"/>
      <name val="微软雅黑"/>
      <family val="2"/>
      <charset val="134"/>
    </font>
    <font>
      <sz val="10"/>
      <color theme="1"/>
      <name val="微软雅黑"/>
      <family val="2"/>
      <charset val="134"/>
    </font>
  </fonts>
  <fills count="21">
    <fill>
      <patternFill patternType="none"/>
    </fill>
    <fill>
      <patternFill patternType="gray125"/>
    </fill>
    <fill>
      <patternFill patternType="solid">
        <fgColor theme="5" tint="0.59999389629810485"/>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bgColor indexed="64"/>
      </patternFill>
    </fill>
    <fill>
      <patternFill patternType="solid">
        <fgColor theme="0" tint="-0.499984740745262"/>
        <bgColor indexed="64"/>
      </patternFill>
    </fill>
    <fill>
      <patternFill patternType="solid">
        <fgColor theme="1"/>
        <bgColor indexed="64"/>
      </patternFill>
    </fill>
    <fill>
      <patternFill patternType="solid">
        <fgColor theme="5" tint="0.39997558519241921"/>
        <bgColor indexed="64"/>
      </patternFill>
    </fill>
    <fill>
      <patternFill patternType="solid">
        <fgColor rgb="FFDEEAF6"/>
        <bgColor indexed="64"/>
      </patternFill>
    </fill>
    <fill>
      <patternFill patternType="solid">
        <fgColor theme="9" tint="0.59999389629810485"/>
        <bgColor indexed="64"/>
      </patternFill>
    </fill>
    <fill>
      <patternFill patternType="solid">
        <fgColor theme="0"/>
        <bgColor indexed="64"/>
      </patternFill>
    </fill>
    <fill>
      <patternFill patternType="solid">
        <fgColor theme="6" tint="0.79998168889431442"/>
        <bgColor indexed="64"/>
      </patternFill>
    </fill>
    <fill>
      <patternFill patternType="solid">
        <fgColor rgb="FFFFC000"/>
        <bgColor indexed="64"/>
      </patternFill>
    </fill>
    <fill>
      <patternFill patternType="solid">
        <fgColor theme="4" tint="0.39997558519241921"/>
        <bgColor indexed="64"/>
      </patternFill>
    </fill>
    <fill>
      <patternFill patternType="solid">
        <fgColor rgb="FFFFFF0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thick">
        <color rgb="FFFF0000"/>
      </top>
      <bottom style="thin">
        <color indexed="64"/>
      </bottom>
      <diagonal/>
    </border>
    <border>
      <left/>
      <right/>
      <top style="thick">
        <color rgb="FFFF0000"/>
      </top>
      <bottom style="thin">
        <color indexed="64"/>
      </bottom>
      <diagonal/>
    </border>
    <border>
      <left style="thin">
        <color indexed="64"/>
      </left>
      <right style="thick">
        <color rgb="FFFF0000"/>
      </right>
      <top style="thin">
        <color indexed="64"/>
      </top>
      <bottom style="thin">
        <color indexed="64"/>
      </bottom>
      <diagonal/>
    </border>
    <border>
      <left/>
      <right style="thick">
        <color rgb="FFFF0000"/>
      </right>
      <top style="thick">
        <color rgb="FFFF0000"/>
      </top>
      <bottom style="thin">
        <color indexed="64"/>
      </bottom>
      <diagonal/>
    </border>
    <border>
      <left/>
      <right style="thick">
        <color rgb="FFFF0000"/>
      </right>
      <top style="thin">
        <color indexed="64"/>
      </top>
      <bottom style="thin">
        <color indexed="64"/>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medium">
        <color indexed="64"/>
      </left>
      <right style="thin">
        <color indexed="64"/>
      </right>
      <top/>
      <bottom style="thick">
        <color rgb="FFFF0000"/>
      </bottom>
      <diagonal/>
    </border>
  </borders>
  <cellStyleXfs count="2">
    <xf numFmtId="0" fontId="0" fillId="0" borderId="0"/>
    <xf numFmtId="0" fontId="5" fillId="0" borderId="0" applyNumberFormat="0" applyFill="0" applyBorder="0" applyAlignment="0" applyProtection="0"/>
  </cellStyleXfs>
  <cellXfs count="169">
    <xf numFmtId="0" fontId="0" fillId="0" borderId="0" xfId="0"/>
    <xf numFmtId="0" fontId="0" fillId="0" borderId="1" xfId="0" applyBorder="1"/>
    <xf numFmtId="0" fontId="0" fillId="0" borderId="0" xfId="0" applyBorder="1"/>
    <xf numFmtId="0" fontId="4" fillId="7" borderId="1" xfId="0" applyFont="1" applyFill="1" applyBorder="1"/>
    <xf numFmtId="0" fontId="2" fillId="7" borderId="3" xfId="0" applyFont="1" applyFill="1" applyBorder="1"/>
    <xf numFmtId="0" fontId="4" fillId="7" borderId="0" xfId="0" applyFont="1" applyFill="1" applyBorder="1"/>
    <xf numFmtId="0" fontId="4" fillId="4" borderId="0" xfId="0" applyFont="1" applyFill="1" applyBorder="1"/>
    <xf numFmtId="0" fontId="4" fillId="5" borderId="1" xfId="0" applyFont="1" applyFill="1" applyBorder="1"/>
    <xf numFmtId="0" fontId="4" fillId="12" borderId="0" xfId="0" applyFont="1" applyFill="1"/>
    <xf numFmtId="0" fontId="5" fillId="7" borderId="1" xfId="1" applyFill="1" applyBorder="1"/>
    <xf numFmtId="0" fontId="4" fillId="2" borderId="6" xfId="0" applyFont="1" applyFill="1" applyBorder="1"/>
    <xf numFmtId="0" fontId="9" fillId="0" borderId="1" xfId="0" applyFont="1" applyBorder="1" applyAlignment="1">
      <alignment horizontal="justify" vertical="center" wrapText="1"/>
    </xf>
    <xf numFmtId="0" fontId="10" fillId="14" borderId="1" xfId="0" applyFont="1" applyFill="1" applyBorder="1" applyAlignment="1">
      <alignment horizontal="justify" vertical="center" wrapText="1"/>
    </xf>
    <xf numFmtId="0" fontId="4" fillId="11" borderId="0" xfId="0" applyFont="1" applyFill="1"/>
    <xf numFmtId="0" fontId="9" fillId="4" borderId="1" xfId="0" applyFont="1" applyFill="1" applyBorder="1" applyAlignment="1">
      <alignment vertical="center"/>
    </xf>
    <xf numFmtId="0" fontId="0" fillId="0" borderId="0" xfId="0" applyAlignment="1">
      <alignment wrapText="1"/>
    </xf>
    <xf numFmtId="0" fontId="0" fillId="4" borderId="0" xfId="0" applyFill="1" applyAlignment="1">
      <alignment wrapText="1"/>
    </xf>
    <xf numFmtId="0" fontId="2" fillId="7" borderId="3" xfId="0" applyFont="1" applyFill="1" applyBorder="1" applyAlignment="1" applyProtection="1">
      <alignment horizontal="left" vertical="top" wrapText="1"/>
      <protection hidden="1"/>
    </xf>
    <xf numFmtId="0" fontId="4" fillId="7" borderId="0" xfId="0" applyFont="1" applyFill="1" applyBorder="1" applyAlignment="1" applyProtection="1">
      <alignment wrapText="1"/>
      <protection hidden="1"/>
    </xf>
    <xf numFmtId="0" fontId="4" fillId="4" borderId="0" xfId="0" applyFont="1" applyFill="1" applyBorder="1" applyAlignment="1" applyProtection="1">
      <alignment horizontal="left" vertical="top" wrapText="1"/>
      <protection hidden="1"/>
    </xf>
    <xf numFmtId="0" fontId="2" fillId="7" borderId="0" xfId="0" applyFont="1" applyFill="1" applyBorder="1" applyAlignment="1" applyProtection="1">
      <alignment wrapText="1"/>
      <protection hidden="1"/>
    </xf>
    <xf numFmtId="0" fontId="4" fillId="4" borderId="0" xfId="0" applyFont="1" applyFill="1" applyBorder="1" applyAlignment="1" applyProtection="1">
      <alignment wrapText="1"/>
      <protection hidden="1"/>
    </xf>
    <xf numFmtId="0" fontId="16" fillId="13" borderId="1" xfId="0" applyFont="1" applyFill="1" applyBorder="1" applyAlignment="1">
      <alignment horizontal="center" vertical="center" wrapText="1"/>
    </xf>
    <xf numFmtId="0" fontId="16" fillId="13" borderId="1" xfId="0" applyFont="1" applyFill="1" applyBorder="1" applyAlignment="1">
      <alignment vertical="center" wrapText="1"/>
    </xf>
    <xf numFmtId="0" fontId="14" fillId="7" borderId="0" xfId="0" applyFont="1" applyFill="1" applyBorder="1" applyAlignment="1" applyProtection="1">
      <alignment wrapText="1"/>
      <protection hidden="1"/>
    </xf>
    <xf numFmtId="0" fontId="19" fillId="17" borderId="1" xfId="0" applyFont="1" applyFill="1" applyBorder="1" applyAlignment="1">
      <alignment horizontal="left" vertical="center" wrapText="1"/>
    </xf>
    <xf numFmtId="0" fontId="7" fillId="16" borderId="12" xfId="0" applyFont="1" applyFill="1" applyBorder="1" applyAlignment="1" applyProtection="1">
      <alignment wrapText="1"/>
    </xf>
    <xf numFmtId="0" fontId="7" fillId="16" borderId="5" xfId="0" applyFont="1" applyFill="1" applyBorder="1" applyAlignment="1" applyProtection="1">
      <alignment wrapText="1"/>
    </xf>
    <xf numFmtId="0" fontId="17" fillId="16" borderId="1" xfId="0" applyFont="1" applyFill="1" applyBorder="1" applyAlignment="1" applyProtection="1">
      <alignment horizontal="justify" vertical="center" wrapText="1"/>
      <protection hidden="1"/>
    </xf>
    <xf numFmtId="0" fontId="20" fillId="16" borderId="1" xfId="0" applyFont="1" applyFill="1" applyBorder="1" applyAlignment="1" applyProtection="1">
      <alignment vertical="center" wrapText="1"/>
      <protection locked="0"/>
    </xf>
    <xf numFmtId="0" fontId="21" fillId="16" borderId="1" xfId="0" applyFont="1" applyFill="1" applyBorder="1" applyAlignment="1" applyProtection="1">
      <alignment wrapText="1"/>
      <protection locked="0"/>
    </xf>
    <xf numFmtId="0" fontId="17" fillId="7" borderId="9" xfId="0" applyFont="1" applyFill="1" applyBorder="1" applyAlignment="1" applyProtection="1">
      <alignment wrapText="1"/>
      <protection hidden="1"/>
    </xf>
    <xf numFmtId="0" fontId="22" fillId="7" borderId="3" xfId="0" applyFont="1" applyFill="1" applyBorder="1" applyAlignment="1" applyProtection="1">
      <alignment horizontal="left" vertical="top" wrapText="1"/>
      <protection hidden="1"/>
    </xf>
    <xf numFmtId="0" fontId="18" fillId="4" borderId="0" xfId="0" applyFont="1" applyFill="1" applyBorder="1" applyAlignment="1" applyProtection="1">
      <alignment horizontal="left" vertical="top" wrapText="1"/>
      <protection hidden="1"/>
    </xf>
    <xf numFmtId="0" fontId="7" fillId="17" borderId="4" xfId="0" applyFont="1" applyFill="1" applyBorder="1" applyAlignment="1" applyProtection="1">
      <alignment wrapText="1"/>
      <protection locked="0"/>
    </xf>
    <xf numFmtId="0" fontId="2" fillId="7" borderId="3" xfId="0" applyFont="1" applyFill="1" applyBorder="1" applyProtection="1">
      <protection locked="0"/>
    </xf>
    <xf numFmtId="0" fontId="4" fillId="7" borderId="0" xfId="0" applyFont="1" applyFill="1" applyBorder="1" applyProtection="1">
      <protection locked="0"/>
    </xf>
    <xf numFmtId="0" fontId="4" fillId="4" borderId="0" xfId="0" applyFont="1" applyFill="1" applyBorder="1" applyProtection="1">
      <protection locked="0"/>
    </xf>
    <xf numFmtId="0" fontId="2" fillId="4" borderId="3" xfId="0" applyFont="1" applyFill="1" applyBorder="1" applyProtection="1">
      <protection locked="0"/>
    </xf>
    <xf numFmtId="0" fontId="9" fillId="0" borderId="1" xfId="0" applyFont="1" applyBorder="1" applyAlignment="1" applyProtection="1">
      <alignment horizontal="justify" vertical="center" wrapText="1"/>
      <protection locked="0"/>
    </xf>
    <xf numFmtId="0" fontId="9" fillId="0" borderId="13" xfId="0" applyFont="1" applyBorder="1" applyAlignment="1" applyProtection="1">
      <alignment vertical="center" wrapText="1"/>
      <protection locked="0"/>
    </xf>
    <xf numFmtId="0" fontId="9" fillId="0" borderId="14" xfId="0" applyFont="1" applyBorder="1" applyAlignment="1" applyProtection="1">
      <alignment vertical="center" wrapText="1"/>
      <protection locked="0"/>
    </xf>
    <xf numFmtId="0" fontId="9" fillId="0" borderId="10" xfId="0" applyFont="1" applyBorder="1" applyAlignment="1" applyProtection="1">
      <alignment vertical="center" wrapText="1"/>
      <protection locked="0"/>
    </xf>
    <xf numFmtId="0" fontId="9" fillId="0" borderId="15" xfId="0" applyFont="1" applyBorder="1" applyAlignment="1" applyProtection="1">
      <alignment vertical="center" wrapText="1"/>
      <protection locked="0"/>
    </xf>
    <xf numFmtId="0" fontId="10" fillId="14" borderId="1" xfId="0" applyFont="1" applyFill="1" applyBorder="1" applyAlignment="1" applyProtection="1">
      <alignment horizontal="justify" vertical="center" wrapText="1"/>
      <protection locked="0"/>
    </xf>
    <xf numFmtId="0" fontId="10" fillId="14" borderId="1" xfId="0" applyFont="1" applyFill="1" applyBorder="1" applyAlignment="1" applyProtection="1">
      <alignment horizontal="center" vertical="center" wrapText="1"/>
      <protection locked="0"/>
    </xf>
    <xf numFmtId="0" fontId="10" fillId="14" borderId="1" xfId="0" applyFont="1" applyFill="1" applyBorder="1" applyAlignment="1" applyProtection="1">
      <alignment vertical="center" wrapText="1"/>
      <protection locked="0"/>
    </xf>
    <xf numFmtId="0" fontId="9" fillId="8" borderId="1" xfId="0" applyFont="1" applyFill="1" applyBorder="1" applyAlignment="1" applyProtection="1">
      <alignment horizontal="justify" vertical="center" wrapText="1"/>
      <protection locked="0"/>
    </xf>
    <xf numFmtId="0" fontId="9" fillId="8" borderId="1" xfId="0" applyFont="1" applyFill="1" applyBorder="1" applyAlignment="1" applyProtection="1">
      <alignment vertical="center" wrapText="1"/>
      <protection locked="0"/>
    </xf>
    <xf numFmtId="0" fontId="9" fillId="4" borderId="1" xfId="0" applyFont="1" applyFill="1" applyBorder="1" applyAlignment="1" applyProtection="1">
      <alignment horizontal="justify" vertical="center" wrapText="1"/>
      <protection locked="0"/>
    </xf>
    <xf numFmtId="0" fontId="9" fillId="4" borderId="1" xfId="0" applyFont="1" applyFill="1" applyBorder="1" applyAlignment="1" applyProtection="1">
      <alignment vertical="center" wrapText="1"/>
      <protection locked="0"/>
    </xf>
    <xf numFmtId="0" fontId="0" fillId="4" borderId="1" xfId="0" applyFill="1" applyBorder="1" applyProtection="1">
      <protection locked="0"/>
    </xf>
    <xf numFmtId="0" fontId="4" fillId="7" borderId="0" xfId="0" applyFont="1" applyFill="1" applyBorder="1" applyAlignment="1" applyProtection="1">
      <alignment horizontal="left" vertical="center"/>
      <protection locked="0"/>
    </xf>
    <xf numFmtId="0" fontId="4" fillId="4" borderId="0" xfId="0" applyFont="1" applyFill="1" applyBorder="1" applyAlignment="1" applyProtection="1">
      <alignment horizontal="left" vertical="center"/>
      <protection locked="0"/>
    </xf>
    <xf numFmtId="0" fontId="9" fillId="8" borderId="1" xfId="0" applyFont="1" applyFill="1" applyBorder="1" applyAlignment="1" applyProtection="1">
      <alignment horizontal="left" vertical="center" wrapText="1"/>
      <protection locked="0"/>
    </xf>
    <xf numFmtId="0" fontId="9" fillId="4" borderId="1" xfId="0" applyFont="1" applyFill="1" applyBorder="1" applyAlignment="1" applyProtection="1">
      <alignment horizontal="left" vertical="center" wrapText="1"/>
      <protection locked="0"/>
    </xf>
    <xf numFmtId="0" fontId="0" fillId="4" borderId="1" xfId="0" applyFill="1" applyBorder="1" applyAlignment="1" applyProtection="1">
      <alignment horizontal="left"/>
      <protection locked="0"/>
    </xf>
    <xf numFmtId="0" fontId="0" fillId="4" borderId="1" xfId="0" applyFill="1" applyBorder="1" applyAlignment="1" applyProtection="1">
      <alignment horizontal="left" vertical="center"/>
      <protection locked="0"/>
    </xf>
    <xf numFmtId="0" fontId="9" fillId="0" borderId="1" xfId="0" applyFont="1" applyBorder="1" applyAlignment="1" applyProtection="1">
      <alignment horizontal="justify" vertical="center" wrapText="1"/>
    </xf>
    <xf numFmtId="0" fontId="10" fillId="14" borderId="1" xfId="0" applyFont="1" applyFill="1" applyBorder="1" applyAlignment="1" applyProtection="1">
      <alignment horizontal="justify" vertical="center" wrapText="1"/>
    </xf>
    <xf numFmtId="0" fontId="2" fillId="7" borderId="0" xfId="0" applyFont="1" applyFill="1" applyBorder="1" applyProtection="1">
      <protection locked="0"/>
    </xf>
    <xf numFmtId="0" fontId="4" fillId="7" borderId="0" xfId="0" applyFont="1" applyFill="1" applyBorder="1" applyAlignment="1" applyProtection="1">
      <alignment wrapText="1"/>
      <protection locked="0"/>
    </xf>
    <xf numFmtId="0" fontId="9" fillId="0" borderId="1" xfId="0" applyFont="1" applyBorder="1" applyAlignment="1" applyProtection="1">
      <alignment vertical="center" wrapText="1"/>
      <protection locked="0"/>
    </xf>
    <xf numFmtId="0" fontId="2" fillId="7" borderId="0" xfId="0" applyFont="1" applyFill="1" applyBorder="1" applyAlignment="1" applyProtection="1">
      <alignment vertical="center"/>
      <protection locked="0"/>
    </xf>
    <xf numFmtId="0" fontId="23" fillId="4" borderId="1" xfId="0" applyFont="1" applyFill="1" applyBorder="1" applyAlignment="1" applyProtection="1">
      <alignment vertical="center" wrapText="1"/>
      <protection locked="0"/>
    </xf>
    <xf numFmtId="0" fontId="0" fillId="4" borderId="1" xfId="0" applyFill="1" applyBorder="1" applyAlignment="1" applyProtection="1">
      <alignment wrapText="1"/>
      <protection locked="0"/>
    </xf>
    <xf numFmtId="0" fontId="24" fillId="4" borderId="1" xfId="0" applyFont="1" applyFill="1" applyBorder="1" applyProtection="1">
      <protection locked="0"/>
    </xf>
    <xf numFmtId="0" fontId="24" fillId="4" borderId="1" xfId="0" applyFont="1" applyFill="1" applyBorder="1" applyAlignment="1" applyProtection="1">
      <alignment wrapText="1"/>
      <protection locked="0"/>
    </xf>
    <xf numFmtId="0" fontId="2" fillId="7" borderId="6" xfId="0" applyFont="1" applyFill="1" applyBorder="1" applyProtection="1"/>
    <xf numFmtId="0" fontId="3" fillId="7" borderId="6" xfId="0" applyFont="1" applyFill="1" applyBorder="1" applyProtection="1"/>
    <xf numFmtId="0" fontId="2" fillId="7" borderId="1" xfId="0" applyFont="1" applyFill="1" applyBorder="1" applyProtection="1"/>
    <xf numFmtId="0" fontId="4" fillId="7" borderId="1" xfId="0" applyFont="1" applyFill="1" applyBorder="1" applyProtection="1"/>
    <xf numFmtId="0" fontId="0" fillId="0" borderId="1" xfId="0" applyBorder="1" applyProtection="1"/>
    <xf numFmtId="0" fontId="0" fillId="0" borderId="0" xfId="0" applyProtection="1"/>
    <xf numFmtId="0" fontId="4" fillId="7" borderId="1" xfId="0" applyFont="1" applyFill="1" applyBorder="1" applyProtection="1">
      <protection locked="0"/>
    </xf>
    <xf numFmtId="0" fontId="9" fillId="9" borderId="6" xfId="0" applyFont="1" applyFill="1" applyBorder="1" applyAlignment="1">
      <alignment horizontal="left" vertical="center"/>
    </xf>
    <xf numFmtId="0" fontId="9" fillId="7" borderId="6" xfId="0" applyFont="1" applyFill="1" applyBorder="1" applyAlignment="1">
      <alignment horizontal="left" vertical="center"/>
    </xf>
    <xf numFmtId="0" fontId="9" fillId="9" borderId="1" xfId="0" applyFont="1" applyFill="1" applyBorder="1" applyAlignment="1">
      <alignment horizontal="left" vertical="center"/>
    </xf>
    <xf numFmtId="0" fontId="10" fillId="9" borderId="1" xfId="0" applyFont="1" applyFill="1" applyBorder="1" applyAlignment="1">
      <alignment horizontal="left" vertical="center"/>
    </xf>
    <xf numFmtId="0" fontId="10" fillId="13" borderId="1" xfId="0" applyFont="1" applyFill="1" applyBorder="1" applyAlignment="1">
      <alignment horizontal="center" vertical="center"/>
    </xf>
    <xf numFmtId="0" fontId="10" fillId="13" borderId="1" xfId="0" applyFont="1" applyFill="1" applyBorder="1" applyAlignment="1">
      <alignment vertical="center"/>
    </xf>
    <xf numFmtId="0" fontId="9" fillId="8" borderId="1" xfId="0" applyFont="1" applyFill="1" applyBorder="1" applyAlignment="1">
      <alignment horizontal="justify" vertical="center"/>
    </xf>
    <xf numFmtId="0" fontId="9" fillId="8" borderId="1" xfId="0" applyFont="1" applyFill="1" applyBorder="1" applyAlignment="1">
      <alignment vertical="center"/>
    </xf>
    <xf numFmtId="0" fontId="0" fillId="4" borderId="1" xfId="0" applyFill="1" applyBorder="1" applyAlignment="1"/>
    <xf numFmtId="0" fontId="0" fillId="18" borderId="1" xfId="0" applyFill="1" applyBorder="1" applyAlignment="1">
      <alignment horizontal="center" vertical="center" wrapText="1"/>
    </xf>
    <xf numFmtId="0" fontId="0" fillId="19" borderId="1" xfId="0" applyFill="1" applyBorder="1"/>
    <xf numFmtId="0" fontId="0" fillId="20" borderId="0" xfId="0" applyFill="1" applyAlignment="1">
      <alignment horizontal="center"/>
    </xf>
    <xf numFmtId="0" fontId="8" fillId="3" borderId="7" xfId="0" applyFont="1" applyFill="1" applyBorder="1" applyAlignment="1" applyProtection="1">
      <alignment horizontal="left" vertical="center" wrapText="1"/>
    </xf>
    <xf numFmtId="0" fontId="9" fillId="15" borderId="16" xfId="0" applyFont="1" applyFill="1" applyBorder="1" applyAlignment="1" applyProtection="1">
      <alignment horizontal="justify" vertical="center" wrapText="1"/>
    </xf>
    <xf numFmtId="0" fontId="10" fillId="14" borderId="16" xfId="0" applyFont="1" applyFill="1" applyBorder="1" applyAlignment="1" applyProtection="1">
      <alignment horizontal="justify" vertical="center" wrapText="1"/>
    </xf>
    <xf numFmtId="0" fontId="10" fillId="14" borderId="1" xfId="0" applyFont="1" applyFill="1" applyBorder="1" applyAlignment="1" applyProtection="1">
      <alignment horizontal="center" vertical="center" wrapText="1"/>
    </xf>
    <xf numFmtId="0" fontId="10" fillId="14" borderId="1" xfId="0" applyFont="1" applyFill="1" applyBorder="1" applyAlignment="1" applyProtection="1">
      <alignment vertical="center" wrapText="1"/>
    </xf>
    <xf numFmtId="0" fontId="10" fillId="14" borderId="22" xfId="0" applyFont="1" applyFill="1" applyBorder="1" applyAlignment="1" applyProtection="1">
      <alignment vertical="center" wrapText="1"/>
    </xf>
    <xf numFmtId="0" fontId="9" fillId="8" borderId="1" xfId="0" applyFont="1" applyFill="1" applyBorder="1" applyAlignment="1" applyProtection="1">
      <alignment horizontal="justify" vertical="center" wrapText="1"/>
    </xf>
    <xf numFmtId="0" fontId="9" fillId="8" borderId="1" xfId="0" applyFont="1" applyFill="1" applyBorder="1" applyAlignment="1" applyProtection="1">
      <alignment vertical="center" wrapText="1"/>
    </xf>
    <xf numFmtId="0" fontId="9" fillId="8" borderId="22" xfId="0" applyFont="1" applyFill="1" applyBorder="1" applyAlignment="1" applyProtection="1">
      <alignment vertical="center" wrapText="1"/>
    </xf>
    <xf numFmtId="0" fontId="9" fillId="4" borderId="1" xfId="0" applyFont="1" applyFill="1" applyBorder="1" applyAlignment="1" applyProtection="1">
      <alignment horizontal="justify" vertical="center" wrapText="1"/>
    </xf>
    <xf numFmtId="0" fontId="9" fillId="4" borderId="1" xfId="0" applyFont="1" applyFill="1" applyBorder="1" applyAlignment="1" applyProtection="1">
      <alignment vertical="center" wrapText="1"/>
    </xf>
    <xf numFmtId="0" fontId="9" fillId="4" borderId="22" xfId="0" applyFont="1" applyFill="1" applyBorder="1" applyAlignment="1" applyProtection="1">
      <alignment vertical="center" wrapText="1"/>
    </xf>
    <xf numFmtId="0" fontId="9" fillId="4" borderId="1" xfId="0" applyFont="1" applyFill="1" applyBorder="1" applyAlignment="1" applyProtection="1">
      <alignment vertical="center"/>
    </xf>
    <xf numFmtId="0" fontId="0" fillId="4" borderId="1" xfId="0" applyFill="1" applyBorder="1" applyProtection="1"/>
    <xf numFmtId="0" fontId="0" fillId="4" borderId="22" xfId="0" applyFill="1" applyBorder="1" applyProtection="1"/>
    <xf numFmtId="0" fontId="0" fillId="4" borderId="25" xfId="0" applyFill="1" applyBorder="1" applyProtection="1"/>
    <xf numFmtId="0" fontId="0" fillId="4" borderId="26" xfId="0" applyFill="1" applyBorder="1" applyProtection="1"/>
    <xf numFmtId="0" fontId="2" fillId="7" borderId="3" xfId="0" applyFont="1" applyFill="1" applyBorder="1" applyAlignment="1" applyProtection="1">
      <alignment horizontal="left" vertical="top" wrapText="1"/>
    </xf>
    <xf numFmtId="0" fontId="4" fillId="7" borderId="0" xfId="0" applyFont="1" applyFill="1" applyBorder="1" applyProtection="1"/>
    <xf numFmtId="0" fontId="2" fillId="7" borderId="0" xfId="0" applyFont="1" applyFill="1" applyBorder="1" applyAlignment="1" applyProtection="1">
      <alignment wrapText="1"/>
    </xf>
    <xf numFmtId="0" fontId="4" fillId="7" borderId="0" xfId="0" applyFont="1" applyFill="1" applyBorder="1" applyAlignment="1" applyProtection="1">
      <alignment wrapText="1"/>
    </xf>
    <xf numFmtId="0" fontId="4" fillId="7" borderId="0" xfId="0" applyFont="1" applyFill="1" applyBorder="1" applyAlignment="1" applyProtection="1">
      <alignment horizontal="left" vertical="center" wrapText="1"/>
      <protection locked="0"/>
    </xf>
    <xf numFmtId="0" fontId="2" fillId="7" borderId="0" xfId="0" applyFont="1" applyFill="1" applyBorder="1" applyAlignment="1" applyProtection="1">
      <alignment horizontal="left" vertical="center"/>
      <protection locked="0"/>
    </xf>
    <xf numFmtId="0" fontId="16" fillId="4" borderId="1" xfId="0" applyFont="1" applyFill="1" applyBorder="1" applyAlignment="1">
      <alignment horizontal="left" vertical="center" wrapText="1"/>
    </xf>
    <xf numFmtId="0" fontId="14" fillId="4" borderId="0" xfId="0" applyFont="1" applyFill="1" applyBorder="1" applyAlignment="1" applyProtection="1">
      <alignment horizontal="center" wrapText="1"/>
      <protection hidden="1"/>
    </xf>
    <xf numFmtId="0" fontId="26" fillId="7" borderId="0" xfId="0" applyFont="1" applyFill="1" applyBorder="1" applyAlignment="1" applyProtection="1">
      <alignment wrapText="1"/>
      <protection locked="0"/>
    </xf>
    <xf numFmtId="0" fontId="26" fillId="7" borderId="9" xfId="0" applyFont="1" applyFill="1" applyBorder="1" applyAlignment="1" applyProtection="1">
      <alignment wrapText="1"/>
      <protection hidden="1"/>
    </xf>
    <xf numFmtId="0" fontId="4" fillId="7" borderId="9" xfId="0" applyFont="1" applyFill="1" applyBorder="1" applyAlignment="1" applyProtection="1">
      <alignment wrapText="1"/>
      <protection hidden="1"/>
    </xf>
    <xf numFmtId="0" fontId="27" fillId="7" borderId="0" xfId="0" applyFont="1" applyFill="1" applyBorder="1" applyAlignment="1" applyProtection="1">
      <alignment horizontal="left" vertical="center" wrapText="1"/>
      <protection locked="0"/>
    </xf>
    <xf numFmtId="0" fontId="16" fillId="7" borderId="9" xfId="0" applyFont="1" applyFill="1" applyBorder="1" applyAlignment="1" applyProtection="1">
      <alignment horizontal="left" wrapText="1"/>
      <protection hidden="1"/>
    </xf>
    <xf numFmtId="0" fontId="16" fillId="7" borderId="0" xfId="0" applyFont="1" applyFill="1" applyBorder="1" applyAlignment="1" applyProtection="1">
      <alignment horizontal="left" wrapText="1"/>
      <protection hidden="1"/>
    </xf>
    <xf numFmtId="0" fontId="8" fillId="6" borderId="10" xfId="0" applyFont="1" applyFill="1" applyBorder="1" applyAlignment="1">
      <alignment horizontal="center" wrapText="1"/>
    </xf>
    <xf numFmtId="0" fontId="8" fillId="6" borderId="2" xfId="0" applyFont="1" applyFill="1" applyBorder="1" applyAlignment="1">
      <alignment horizontal="center" wrapText="1"/>
    </xf>
    <xf numFmtId="0" fontId="16" fillId="6" borderId="11" xfId="0" applyFont="1" applyFill="1" applyBorder="1" applyAlignment="1">
      <alignment horizontal="center" vertical="center" wrapText="1"/>
    </xf>
    <xf numFmtId="0" fontId="14" fillId="6" borderId="11" xfId="0" applyFont="1" applyFill="1" applyBorder="1" applyAlignment="1">
      <alignment horizontal="center" vertical="center" wrapText="1"/>
    </xf>
    <xf numFmtId="0" fontId="16" fillId="4" borderId="1" xfId="0" applyFont="1" applyFill="1" applyBorder="1" applyAlignment="1">
      <alignment horizontal="left" vertical="center" wrapText="1"/>
    </xf>
    <xf numFmtId="0" fontId="16" fillId="4" borderId="7" xfId="0" applyFont="1" applyFill="1" applyBorder="1" applyAlignment="1">
      <alignment horizontal="left" vertical="center" wrapText="1"/>
    </xf>
    <xf numFmtId="0" fontId="16" fillId="4" borderId="8" xfId="0" applyFont="1" applyFill="1" applyBorder="1" applyAlignment="1">
      <alignment horizontal="left" vertical="center" wrapText="1"/>
    </xf>
    <xf numFmtId="0" fontId="16" fillId="4" borderId="6" xfId="0" applyFont="1" applyFill="1" applyBorder="1" applyAlignment="1">
      <alignment horizontal="left" vertical="center" wrapText="1"/>
    </xf>
    <xf numFmtId="0" fontId="17" fillId="7" borderId="1" xfId="0" applyFont="1" applyFill="1" applyBorder="1" applyAlignment="1" applyProtection="1">
      <alignment horizontal="left" vertical="center" wrapText="1"/>
      <protection hidden="1"/>
    </xf>
    <xf numFmtId="0" fontId="14" fillId="4" borderId="0" xfId="0" applyFont="1" applyFill="1" applyBorder="1" applyAlignment="1" applyProtection="1">
      <alignment horizontal="center" wrapText="1"/>
      <protection hidden="1"/>
    </xf>
    <xf numFmtId="0" fontId="15" fillId="4" borderId="0" xfId="0" applyFont="1" applyFill="1" applyBorder="1" applyAlignment="1" applyProtection="1">
      <alignment horizontal="left" wrapText="1"/>
      <protection hidden="1"/>
    </xf>
    <xf numFmtId="0" fontId="4" fillId="4" borderId="0" xfId="0" applyFont="1" applyFill="1" applyBorder="1" applyAlignment="1" applyProtection="1">
      <alignment horizontal="center" wrapText="1"/>
      <protection hidden="1"/>
    </xf>
    <xf numFmtId="0" fontId="2" fillId="6" borderId="0" xfId="0" applyFont="1" applyFill="1" applyBorder="1" applyAlignment="1" applyProtection="1">
      <alignment horizontal="center" vertical="center" wrapText="1"/>
    </xf>
    <xf numFmtId="0" fontId="4" fillId="6" borderId="0" xfId="0" applyFont="1" applyFill="1" applyBorder="1" applyAlignment="1" applyProtection="1">
      <alignment horizontal="center" vertical="center" wrapText="1"/>
    </xf>
    <xf numFmtId="0" fontId="7" fillId="4" borderId="13" xfId="0" applyFont="1" applyFill="1" applyBorder="1" applyAlignment="1" applyProtection="1">
      <alignment horizontal="left" wrapText="1"/>
    </xf>
    <xf numFmtId="0" fontId="7" fillId="4" borderId="11" xfId="0" applyFont="1" applyFill="1" applyBorder="1" applyAlignment="1" applyProtection="1">
      <alignment horizontal="left" wrapText="1"/>
    </xf>
    <xf numFmtId="0" fontId="7" fillId="4" borderId="14" xfId="0" applyFont="1" applyFill="1" applyBorder="1" applyAlignment="1" applyProtection="1">
      <alignment horizontal="left" wrapText="1"/>
    </xf>
    <xf numFmtId="0" fontId="8" fillId="6" borderId="20" xfId="0" applyFont="1" applyFill="1" applyBorder="1" applyAlignment="1" applyProtection="1">
      <alignment horizontal="center" wrapText="1"/>
    </xf>
    <xf numFmtId="0" fontId="8" fillId="6" borderId="21" xfId="0" applyFont="1" applyFill="1" applyBorder="1" applyAlignment="1" applyProtection="1">
      <alignment horizontal="center" wrapText="1"/>
    </xf>
    <xf numFmtId="0" fontId="8" fillId="6" borderId="23" xfId="0" applyFont="1" applyFill="1" applyBorder="1" applyAlignment="1" applyProtection="1">
      <alignment horizontal="center" wrapText="1"/>
    </xf>
    <xf numFmtId="0" fontId="9" fillId="0" borderId="4" xfId="0" applyFont="1" applyBorder="1" applyAlignment="1" applyProtection="1">
      <alignment horizontal="left" vertical="center" wrapText="1"/>
    </xf>
    <xf numFmtId="0" fontId="9" fillId="0" borderId="12" xfId="0" applyFont="1" applyBorder="1" applyAlignment="1" applyProtection="1">
      <alignment horizontal="left" vertical="center" wrapText="1"/>
    </xf>
    <xf numFmtId="0" fontId="9" fillId="0" borderId="24" xfId="0" applyFont="1" applyBorder="1" applyAlignment="1" applyProtection="1">
      <alignment horizontal="left" vertical="center" wrapText="1"/>
    </xf>
    <xf numFmtId="0" fontId="9" fillId="15" borderId="17" xfId="0" applyFont="1" applyFill="1" applyBorder="1" applyAlignment="1" applyProtection="1">
      <alignment horizontal="center" vertical="center" wrapText="1"/>
    </xf>
    <xf numFmtId="0" fontId="9" fillId="15" borderId="18" xfId="0" applyFont="1" applyFill="1" applyBorder="1" applyAlignment="1" applyProtection="1">
      <alignment horizontal="center" vertical="center" wrapText="1"/>
    </xf>
    <xf numFmtId="0" fontId="9" fillId="15" borderId="19" xfId="0" applyFont="1" applyFill="1" applyBorder="1" applyAlignment="1" applyProtection="1">
      <alignment horizontal="center" vertical="center" wrapText="1"/>
    </xf>
    <xf numFmtId="0" fontId="9" fillId="15" borderId="27" xfId="0" applyFont="1" applyFill="1" applyBorder="1" applyAlignment="1" applyProtection="1">
      <alignment horizontal="center" vertical="center" wrapText="1"/>
    </xf>
    <xf numFmtId="0" fontId="24" fillId="18" borderId="4" xfId="0" applyFont="1" applyFill="1" applyBorder="1" applyAlignment="1">
      <alignment horizontal="center"/>
    </xf>
    <xf numFmtId="0" fontId="25" fillId="18" borderId="12" xfId="0" applyFont="1" applyFill="1" applyBorder="1" applyAlignment="1">
      <alignment horizontal="center"/>
    </xf>
    <xf numFmtId="0" fontId="25" fillId="18" borderId="5" xfId="0" applyFont="1" applyFill="1" applyBorder="1" applyAlignment="1">
      <alignment horizontal="center"/>
    </xf>
    <xf numFmtId="0" fontId="0" fillId="10" borderId="0" xfId="0" applyFill="1" applyAlignment="1" applyProtection="1">
      <alignment horizontal="center"/>
    </xf>
    <xf numFmtId="0" fontId="9" fillId="7" borderId="9" xfId="0" applyFont="1" applyFill="1" applyBorder="1" applyAlignment="1">
      <alignment horizontal="center" vertical="center"/>
    </xf>
    <xf numFmtId="0" fontId="9" fillId="7" borderId="3" xfId="0" applyFont="1" applyFill="1" applyBorder="1" applyAlignment="1">
      <alignment horizontal="center" vertical="center"/>
    </xf>
    <xf numFmtId="0" fontId="9" fillId="7" borderId="10" xfId="0" applyFont="1" applyFill="1" applyBorder="1" applyAlignment="1">
      <alignment horizontal="center" vertical="center"/>
    </xf>
    <xf numFmtId="0" fontId="9" fillId="7" borderId="15" xfId="0" applyFont="1" applyFill="1" applyBorder="1" applyAlignment="1">
      <alignment horizontal="center" vertical="center"/>
    </xf>
    <xf numFmtId="0" fontId="6" fillId="6" borderId="2" xfId="0" applyFont="1" applyFill="1" applyBorder="1" applyAlignment="1">
      <alignment horizontal="center"/>
    </xf>
    <xf numFmtId="0" fontId="11" fillId="6" borderId="0" xfId="0" applyFont="1" applyFill="1" applyBorder="1" applyAlignment="1">
      <alignment horizontal="center"/>
    </xf>
    <xf numFmtId="0" fontId="6" fillId="6" borderId="0" xfId="0" applyFont="1" applyFill="1" applyAlignment="1">
      <alignment horizontal="center"/>
    </xf>
    <xf numFmtId="0" fontId="6" fillId="6" borderId="0" xfId="0" applyFont="1" applyFill="1" applyBorder="1" applyAlignment="1" applyProtection="1">
      <alignment horizontal="center"/>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9" fillId="9" borderId="6" xfId="0" applyFont="1" applyFill="1" applyBorder="1" applyAlignment="1">
      <alignment horizontal="center" vertical="center"/>
    </xf>
    <xf numFmtId="0" fontId="9" fillId="0" borderId="7" xfId="0" applyFont="1" applyBorder="1" applyAlignment="1" applyProtection="1">
      <alignment horizontal="center" vertical="center" wrapText="1"/>
      <protection locked="0"/>
    </xf>
    <xf numFmtId="0" fontId="9" fillId="0" borderId="8" xfId="0" applyFont="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9" fillId="0" borderId="7" xfId="0" applyFont="1" applyBorder="1" applyAlignment="1" applyProtection="1">
      <alignment horizontal="center" vertical="center" wrapText="1"/>
    </xf>
    <xf numFmtId="0" fontId="9" fillId="0" borderId="8" xfId="0" applyFont="1" applyBorder="1" applyAlignment="1" applyProtection="1">
      <alignment horizontal="center" vertical="center" wrapText="1"/>
    </xf>
    <xf numFmtId="0" fontId="9" fillId="0" borderId="6" xfId="0" applyFont="1" applyBorder="1" applyAlignment="1" applyProtection="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6" xfId="0" applyFont="1" applyBorder="1" applyAlignment="1">
      <alignment horizontal="center" vertical="center" wrapText="1"/>
    </xf>
  </cellXfs>
  <cellStyles count="2">
    <cellStyle name="常规" xfId="0" builtinId="0"/>
    <cellStyle name="超链接"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5419725</xdr:colOff>
      <xdr:row>0</xdr:row>
      <xdr:rowOff>228600</xdr:rowOff>
    </xdr:from>
    <xdr:to>
      <xdr:col>3</xdr:col>
      <xdr:colOff>2876183</xdr:colOff>
      <xdr:row>1</xdr:row>
      <xdr:rowOff>409505</xdr:rowOff>
    </xdr:to>
    <xdr:pic>
      <xdr:nvPicPr>
        <xdr:cNvPr id="2" name="图片 1"/>
        <xdr:cNvPicPr>
          <a:picLocks noChangeAspect="1"/>
        </xdr:cNvPicPr>
      </xdr:nvPicPr>
      <xdr:blipFill>
        <a:blip xmlns:r="http://schemas.openxmlformats.org/officeDocument/2006/relationships" r:embed="rId1"/>
        <a:stretch>
          <a:fillRect/>
        </a:stretch>
      </xdr:blipFill>
      <xdr:spPr>
        <a:xfrm>
          <a:off x="12134850" y="228600"/>
          <a:ext cx="2933333" cy="561905"/>
        </a:xfrm>
        <a:prstGeom prst="rect">
          <a:avLst/>
        </a:prstGeom>
      </xdr:spPr>
    </xdr:pic>
    <xdr:clientData/>
  </xdr:twoCellAnchor>
  <xdr:twoCellAnchor editAs="oneCell">
    <xdr:from>
      <xdr:col>0</xdr:col>
      <xdr:colOff>0</xdr:colOff>
      <xdr:row>0</xdr:row>
      <xdr:rowOff>1</xdr:rowOff>
    </xdr:from>
    <xdr:to>
      <xdr:col>2</xdr:col>
      <xdr:colOff>5302549</xdr:colOff>
      <xdr:row>1</xdr:row>
      <xdr:rowOff>419101</xdr:rowOff>
    </xdr:to>
    <xdr:pic>
      <xdr:nvPicPr>
        <xdr:cNvPr id="3" name="图片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
          <a:ext cx="12011025" cy="800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3</xdr:col>
      <xdr:colOff>3039937</xdr:colOff>
      <xdr:row>0</xdr:row>
      <xdr:rowOff>1562101</xdr:rowOff>
    </xdr:to>
    <xdr:pic>
      <xdr:nvPicPr>
        <xdr:cNvPr id="4" name="图片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13174537" cy="156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2705099</xdr:colOff>
      <xdr:row>0</xdr:row>
      <xdr:rowOff>1533525</xdr:rowOff>
    </xdr:from>
    <xdr:to>
      <xdr:col>6</xdr:col>
      <xdr:colOff>38099</xdr:colOff>
      <xdr:row>2</xdr:row>
      <xdr:rowOff>209550</xdr:rowOff>
    </xdr:to>
    <xdr:sp macro="" textlink="">
      <xdr:nvSpPr>
        <xdr:cNvPr id="5" name="椭圆形标注 4"/>
        <xdr:cNvSpPr/>
      </xdr:nvSpPr>
      <xdr:spPr>
        <a:xfrm>
          <a:off x="12839699" y="1533525"/>
          <a:ext cx="1914525" cy="571500"/>
        </a:xfrm>
        <a:prstGeom prst="wedgeEllipseCallout">
          <a:avLst/>
        </a:prstGeom>
        <a:solidFill>
          <a:schemeClr val="accent6">
            <a:lumMod val="20000"/>
            <a:lumOff val="80000"/>
          </a:scheme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oneCellAnchor>
    <xdr:from>
      <xdr:col>3</xdr:col>
      <xdr:colOff>2924175</xdr:colOff>
      <xdr:row>1</xdr:row>
      <xdr:rowOff>76200</xdr:rowOff>
    </xdr:from>
    <xdr:ext cx="1416734" cy="275717"/>
    <xdr:sp macro="" textlink="">
      <xdr:nvSpPr>
        <xdr:cNvPr id="6" name="文本框 5"/>
        <xdr:cNvSpPr txBox="1"/>
      </xdr:nvSpPr>
      <xdr:spPr>
        <a:xfrm>
          <a:off x="13058775" y="1676400"/>
          <a:ext cx="1416734"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rgbClr val="FF0000"/>
              </a:solidFill>
            </a:rPr>
            <a:t>当前问题的</a:t>
          </a:r>
          <a:r>
            <a:rPr lang="en-US" altLang="zh-CN" sz="1100">
              <a:solidFill>
                <a:srgbClr val="FF0000"/>
              </a:solidFill>
            </a:rPr>
            <a:t>check list</a:t>
          </a:r>
          <a:endParaRPr lang="zh-CN" altLang="en-US" sz="1100">
            <a:solidFill>
              <a:srgbClr val="FF0000"/>
            </a:solidFill>
          </a:endParaRPr>
        </a:p>
      </xdr:txBody>
    </xdr:sp>
    <xdr:clientData/>
  </xdr:oneCellAnchor>
  <xdr:oneCellAnchor>
    <xdr:from>
      <xdr:col>0</xdr:col>
      <xdr:colOff>95250</xdr:colOff>
      <xdr:row>5</xdr:row>
      <xdr:rowOff>133350</xdr:rowOff>
    </xdr:from>
    <xdr:ext cx="1323975" cy="685800"/>
    <xdr:sp macro="" textlink="">
      <xdr:nvSpPr>
        <xdr:cNvPr id="7" name="文本框 6"/>
        <xdr:cNvSpPr txBox="1"/>
      </xdr:nvSpPr>
      <xdr:spPr>
        <a:xfrm>
          <a:off x="95250" y="2667000"/>
          <a:ext cx="1323975" cy="68580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zh-CN" altLang="en-US" sz="1100">
              <a:solidFill>
                <a:srgbClr val="FF0000"/>
              </a:solidFill>
            </a:rPr>
            <a:t>硬件需要做的检查</a:t>
          </a:r>
        </a:p>
      </xdr:txBody>
    </xdr:sp>
    <xdr:clientData/>
  </xdr:oneCellAnchor>
  <xdr:oneCellAnchor>
    <xdr:from>
      <xdr:col>0</xdr:col>
      <xdr:colOff>142875</xdr:colOff>
      <xdr:row>15</xdr:row>
      <xdr:rowOff>114300</xdr:rowOff>
    </xdr:from>
    <xdr:ext cx="1323975" cy="685800"/>
    <xdr:sp macro="" textlink="">
      <xdr:nvSpPr>
        <xdr:cNvPr id="8" name="文本框 7"/>
        <xdr:cNvSpPr txBox="1"/>
      </xdr:nvSpPr>
      <xdr:spPr>
        <a:xfrm>
          <a:off x="142875" y="5057775"/>
          <a:ext cx="1323975" cy="68580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zh-CN" altLang="en-US" sz="1100">
              <a:solidFill>
                <a:srgbClr val="FF0000"/>
              </a:solidFill>
            </a:rPr>
            <a:t>软件需要做的检查</a:t>
          </a:r>
        </a:p>
      </xdr:txBody>
    </xdr:sp>
    <xdr:clientData/>
  </xdr:oneCellAnchor>
  <xdr:oneCellAnchor>
    <xdr:from>
      <xdr:col>2</xdr:col>
      <xdr:colOff>4105275</xdr:colOff>
      <xdr:row>25</xdr:row>
      <xdr:rowOff>114299</xdr:rowOff>
    </xdr:from>
    <xdr:ext cx="1733549" cy="2105025"/>
    <xdr:sp macro="" textlink="">
      <xdr:nvSpPr>
        <xdr:cNvPr id="9" name="文本框 8"/>
        <xdr:cNvSpPr txBox="1"/>
      </xdr:nvSpPr>
      <xdr:spPr>
        <a:xfrm>
          <a:off x="9429750" y="7067549"/>
          <a:ext cx="1733549" cy="2105025"/>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zh-CN" sz="1100">
              <a:solidFill>
                <a:srgbClr val="FF0000"/>
              </a:solidFill>
            </a:rPr>
            <a:t>FAQ</a:t>
          </a:r>
        </a:p>
        <a:p>
          <a:r>
            <a:rPr lang="zh-CN" altLang="en-US" sz="1100">
              <a:solidFill>
                <a:srgbClr val="FF0000"/>
              </a:solidFill>
            </a:rPr>
            <a:t>针对当前问题相关的一些</a:t>
          </a:r>
          <a:r>
            <a:rPr lang="en-US" altLang="zh-CN" sz="1100">
              <a:solidFill>
                <a:srgbClr val="FF0000"/>
              </a:solidFill>
            </a:rPr>
            <a:t>FAQ</a:t>
          </a:r>
          <a:endParaRPr lang="zh-CN" altLang="en-US" sz="1100">
            <a:solidFill>
              <a:srgbClr val="FF0000"/>
            </a:solidFill>
          </a:endParaRPr>
        </a:p>
      </xdr:txBody>
    </xdr:sp>
    <xdr:clientData/>
  </xdr:oneCellAnchor>
  <xdr:oneCellAnchor>
    <xdr:from>
      <xdr:col>0</xdr:col>
      <xdr:colOff>323850</xdr:colOff>
      <xdr:row>39</xdr:row>
      <xdr:rowOff>66675</xdr:rowOff>
    </xdr:from>
    <xdr:ext cx="184731" cy="264560"/>
    <xdr:sp macro="" textlink="">
      <xdr:nvSpPr>
        <xdr:cNvPr id="2" name="文本框 1"/>
        <xdr:cNvSpPr txBox="1"/>
      </xdr:nvSpPr>
      <xdr:spPr>
        <a:xfrm>
          <a:off x="323850" y="9810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CN" altLang="en-US" sz="1100"/>
        </a:p>
      </xdr:txBody>
    </xdr:sp>
    <xdr:clientData/>
  </xdr:oneCellAnchor>
  <xdr:oneCellAnchor>
    <xdr:from>
      <xdr:col>0</xdr:col>
      <xdr:colOff>0</xdr:colOff>
      <xdr:row>37</xdr:row>
      <xdr:rowOff>76200</xdr:rowOff>
    </xdr:from>
    <xdr:ext cx="9267826" cy="4146427"/>
    <xdr:sp macro="" textlink="">
      <xdr:nvSpPr>
        <xdr:cNvPr id="3" name="文本框 2"/>
        <xdr:cNvSpPr txBox="1"/>
      </xdr:nvSpPr>
      <xdr:spPr>
        <a:xfrm>
          <a:off x="0" y="9477375"/>
          <a:ext cx="9267826" cy="4146427"/>
        </a:xfrm>
        <a:prstGeom prst="rect">
          <a:avLst/>
        </a:prstGeom>
        <a:solidFill>
          <a:schemeClr val="accent3">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zh-CN" altLang="en-US" sz="1400" b="1">
              <a:solidFill>
                <a:schemeClr val="tx1"/>
              </a:solidFill>
              <a:effectLst/>
              <a:latin typeface="+mn-lt"/>
              <a:ea typeface="+mn-ea"/>
              <a:cs typeface="+mn-cs"/>
            </a:rPr>
            <a:t>声明：</a:t>
          </a:r>
          <a:endParaRPr lang="en-US" altLang="zh-CN" sz="1400" b="1">
            <a:solidFill>
              <a:schemeClr val="tx1"/>
            </a:solidFill>
            <a:effectLst/>
            <a:latin typeface="+mn-lt"/>
            <a:ea typeface="+mn-ea"/>
            <a:cs typeface="+mn-cs"/>
          </a:endParaRPr>
        </a:p>
        <a:p>
          <a:r>
            <a:rPr lang="zh-CN" altLang="zh-CN" sz="1400">
              <a:solidFill>
                <a:schemeClr val="tx1"/>
              </a:solidFill>
              <a:effectLst/>
              <a:latin typeface="+mn-lt"/>
              <a:ea typeface="+mn-ea"/>
              <a:cs typeface="+mn-cs"/>
            </a:rPr>
            <a:t>本文件所含数据和信息都属于紫光展锐所有的机密信息，紫光展锐保留所有相关权利。本文件仅为信息参考之目的提供，不包含任何明示或默示的知识产权许可，也不表示有任何明示或默示的保证，包括但不限于满足任何特殊目的、不侵权或性能。当您接受这份文件时，即表示您同意本文件中内容和信息属于紫光展锐机密信息，且同意在未获得紫光展锐书面同意前，不使用或复制本文件的整体或部分，也不向任何其他方披露本文件内容。紫光展锐有权在未经事先通知的情况下，在任何时候对本文件做任何修改。紫光展锐对本文件所含数据和信息不做任何保证，在任何情况下，紫光展锐均不负责任何与本文件相关的直接或间接的、任何伤害或损失。</a:t>
          </a:r>
          <a:r>
            <a:rPr lang="en-US" altLang="zh-CN" sz="1400">
              <a:solidFill>
                <a:schemeClr val="tx1"/>
              </a:solidFill>
              <a:effectLst/>
              <a:latin typeface="+mn-lt"/>
              <a:ea typeface="+mn-ea"/>
              <a:cs typeface="+mn-cs"/>
            </a:rPr>
            <a:t>  </a:t>
          </a:r>
          <a:endParaRPr lang="zh-CN" altLang="zh-CN" sz="1400">
            <a:solidFill>
              <a:schemeClr val="tx1"/>
            </a:solidFill>
            <a:effectLst/>
            <a:latin typeface="+mn-lt"/>
            <a:ea typeface="+mn-ea"/>
            <a:cs typeface="+mn-cs"/>
          </a:endParaRPr>
        </a:p>
        <a:p>
          <a:r>
            <a:rPr lang="en-US" altLang="zh-CN" sz="1400">
              <a:solidFill>
                <a:schemeClr val="tx1"/>
              </a:solidFill>
              <a:effectLst/>
              <a:latin typeface="+mn-lt"/>
              <a:ea typeface="+mn-ea"/>
              <a:cs typeface="+mn-cs"/>
            </a:rPr>
            <a:t>All data and information contained in or disclosed by this document is confidential and proprietary information of UNISOC and all rights therein are expressly reserved. This document is provided for reference purpose, no license (express or implied, by estoppel or otherwise) to any intellectual property rights is granted by this document, and no express and implied warranties, including but without limitation, the implied warranties of fitness for any particular purpose, and non-infringement, as well as any performance. By accepting this material, the recipient agrees that the material and the information contained therein is to be held in confidence and in trust and will not be used, copied, reproduced in whole or in part, nor its contents revealed in any manner to others without the express written permission of UNISOC. UNISOC may make any changes at any time without prior notice. Although every reasonable effort is made to present current and accurate information, UNISOC makes no guarantees of any kind with respect to the matters addressed in this document. In no event shall UNISOC be responsible or liable, directly or indirectly, for any damage or loss caused or alleged to be caused by or in connection with the use of or reliance on any such content.  </a:t>
          </a:r>
          <a:endParaRPr lang="zh-CN" alt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4</xdr:col>
      <xdr:colOff>857250</xdr:colOff>
      <xdr:row>13</xdr:row>
      <xdr:rowOff>95250</xdr:rowOff>
    </xdr:from>
    <xdr:to>
      <xdr:col>11</xdr:col>
      <xdr:colOff>142342</xdr:colOff>
      <xdr:row>18</xdr:row>
      <xdr:rowOff>47524</xdr:rowOff>
    </xdr:to>
    <xdr:pic>
      <xdr:nvPicPr>
        <xdr:cNvPr id="2" name="图片 1"/>
        <xdr:cNvPicPr>
          <a:picLocks noChangeAspect="1"/>
        </xdr:cNvPicPr>
      </xdr:nvPicPr>
      <xdr:blipFill>
        <a:blip xmlns:r="http://schemas.openxmlformats.org/officeDocument/2006/relationships" r:embed="rId1"/>
        <a:stretch>
          <a:fillRect/>
        </a:stretch>
      </xdr:blipFill>
      <xdr:spPr>
        <a:xfrm>
          <a:off x="6781800" y="2324100"/>
          <a:ext cx="4266667" cy="809524"/>
        </a:xfrm>
        <a:prstGeom prst="rect">
          <a:avLst/>
        </a:prstGeom>
      </xdr:spPr>
    </xdr:pic>
    <xdr:clientData/>
  </xdr:twoCellAnchor>
  <xdr:oneCellAnchor>
    <xdr:from>
      <xdr:col>9</xdr:col>
      <xdr:colOff>38100</xdr:colOff>
      <xdr:row>10</xdr:row>
      <xdr:rowOff>28575</xdr:rowOff>
    </xdr:from>
    <xdr:ext cx="184731" cy="264560"/>
    <xdr:sp macro="" textlink="">
      <xdr:nvSpPr>
        <xdr:cNvPr id="3" name="文本框 2"/>
        <xdr:cNvSpPr txBox="1"/>
      </xdr:nvSpPr>
      <xdr:spPr>
        <a:xfrm>
          <a:off x="9572625" y="1743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CN" altLang="en-US" sz="1100"/>
        </a:p>
      </xdr:txBody>
    </xdr:sp>
    <xdr:clientData/>
  </xdr:oneCellAnchor>
  <xdr:oneCellAnchor>
    <xdr:from>
      <xdr:col>4</xdr:col>
      <xdr:colOff>790574</xdr:colOff>
      <xdr:row>6</xdr:row>
      <xdr:rowOff>104775</xdr:rowOff>
    </xdr:from>
    <xdr:ext cx="7620001" cy="1192634"/>
    <xdr:sp macro="" textlink="">
      <xdr:nvSpPr>
        <xdr:cNvPr id="4" name="文本框 3"/>
        <xdr:cNvSpPr txBox="1"/>
      </xdr:nvSpPr>
      <xdr:spPr>
        <a:xfrm>
          <a:off x="6715124" y="1133475"/>
          <a:ext cx="7620001" cy="11926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如下图，为整个工作簿的状态栏，</a:t>
          </a:r>
          <a:endParaRPr lang="en-US" altLang="zh-CN" sz="1100"/>
        </a:p>
        <a:p>
          <a:r>
            <a:rPr lang="en-US" altLang="zh-CN" sz="1100"/>
            <a:t>lcd check </a:t>
          </a:r>
          <a:r>
            <a:rPr lang="zh-CN" altLang="en-US" sz="1100"/>
            <a:t>：为主页 </a:t>
          </a:r>
          <a:r>
            <a:rPr lang="en-US" altLang="zh-CN" sz="1100"/>
            <a:t>(</a:t>
          </a:r>
          <a:r>
            <a:rPr lang="zh-CN" altLang="en-US" sz="1100">
              <a:solidFill>
                <a:srgbClr val="FF0000"/>
              </a:solidFill>
            </a:rPr>
            <a:t>这里以</a:t>
          </a:r>
          <a:r>
            <a:rPr lang="en-US" altLang="zh-CN" sz="1100">
              <a:solidFill>
                <a:srgbClr val="FF0000"/>
              </a:solidFill>
            </a:rPr>
            <a:t>lcd</a:t>
          </a:r>
          <a:r>
            <a:rPr lang="zh-CN" altLang="en-US" sz="1100">
              <a:solidFill>
                <a:srgbClr val="FF0000"/>
              </a:solidFill>
            </a:rPr>
            <a:t>为参考，请重命名为一个合适的名称</a:t>
          </a:r>
          <a:r>
            <a:rPr lang="en-US" altLang="zh-CN" sz="1100"/>
            <a:t>)</a:t>
          </a:r>
        </a:p>
        <a:p>
          <a:r>
            <a:rPr lang="zh-CN" altLang="en-US" sz="1100"/>
            <a:t>使用指南：简要使用说明</a:t>
          </a:r>
          <a:endParaRPr lang="en-US" altLang="zh-CN" sz="1100"/>
        </a:p>
        <a:p>
          <a:r>
            <a:rPr lang="en-US" altLang="zh-CN" sz="1100"/>
            <a:t>rootuser</a:t>
          </a:r>
          <a:r>
            <a:rPr lang="zh-CN" altLang="en-US" sz="1100"/>
            <a:t>：针对展锐内部使用的一些说明</a:t>
          </a:r>
          <a:endParaRPr lang="en-US" altLang="zh-CN" sz="1100"/>
        </a:p>
        <a:p>
          <a:r>
            <a:rPr lang="en-US" altLang="zh-CN" sz="1100"/>
            <a:t>data</a:t>
          </a:r>
          <a:r>
            <a:rPr lang="zh-CN" altLang="en-US" sz="1100"/>
            <a:t>：总的数据处理表（已隐藏）</a:t>
          </a:r>
          <a:endParaRPr lang="en-US" altLang="zh-CN" sz="1100"/>
        </a:p>
        <a:p>
          <a:r>
            <a:rPr lang="en-US" altLang="zh-CN" sz="1100"/>
            <a:t>A1~A15</a:t>
          </a:r>
          <a:r>
            <a:rPr lang="zh-CN" altLang="en-US" sz="1100"/>
            <a:t>：为各个问题表，一个表对应一个问题（其他已隐藏）</a:t>
          </a:r>
          <a:r>
            <a:rPr lang="en-US" altLang="zh-CN" sz="1100"/>
            <a:t>,</a:t>
          </a:r>
          <a:r>
            <a:rPr lang="zh-CN" altLang="en-US" sz="1100"/>
            <a:t>如需编辑请取消隐藏（</a:t>
          </a:r>
          <a:r>
            <a:rPr lang="zh-CN" altLang="en-US" sz="1100">
              <a:solidFill>
                <a:srgbClr val="FF0000"/>
              </a:solidFill>
            </a:rPr>
            <a:t>主要需要编辑的表也就是</a:t>
          </a:r>
          <a:r>
            <a:rPr lang="en-US" altLang="zh-CN" sz="1100">
              <a:solidFill>
                <a:srgbClr val="FF0000"/>
              </a:solidFill>
            </a:rPr>
            <a:t>A1~A15</a:t>
          </a:r>
          <a:r>
            <a:rPr lang="zh-CN" altLang="en-US" sz="1100"/>
            <a:t>）</a:t>
          </a:r>
        </a:p>
      </xdr:txBody>
    </xdr:sp>
    <xdr:clientData/>
  </xdr:oneCellAnchor>
  <xdr:oneCellAnchor>
    <xdr:from>
      <xdr:col>5</xdr:col>
      <xdr:colOff>0</xdr:colOff>
      <xdr:row>20</xdr:row>
      <xdr:rowOff>0</xdr:rowOff>
    </xdr:from>
    <xdr:ext cx="4227632" cy="642484"/>
    <xdr:sp macro="" textlink="">
      <xdr:nvSpPr>
        <xdr:cNvPr id="5" name="文本框 4"/>
        <xdr:cNvSpPr txBox="1"/>
      </xdr:nvSpPr>
      <xdr:spPr>
        <a:xfrm>
          <a:off x="6791325" y="3429000"/>
          <a:ext cx="4227632" cy="6424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依据所定问题，在</a:t>
          </a:r>
          <a:r>
            <a:rPr lang="en-US" altLang="zh-CN" sz="1100"/>
            <a:t>A1~A15</a:t>
          </a:r>
          <a:r>
            <a:rPr lang="zh-CN" altLang="en-US" sz="1100"/>
            <a:t>表添加你的问题及问题相关的内容</a:t>
          </a:r>
          <a:endParaRPr lang="en-US" altLang="zh-CN" sz="1100"/>
        </a:p>
        <a:p>
          <a:r>
            <a:rPr lang="zh-CN" altLang="en-US" sz="1100"/>
            <a:t>目前支持</a:t>
          </a:r>
          <a:r>
            <a:rPr lang="en-US" altLang="zh-CN" sz="1100"/>
            <a:t>15</a:t>
          </a:r>
          <a:r>
            <a:rPr lang="zh-CN" altLang="en-US" sz="1100"/>
            <a:t>个问题列表，如需增加需要修改</a:t>
          </a:r>
          <a:r>
            <a:rPr lang="en-US" altLang="zh-CN" sz="1100"/>
            <a:t>data</a:t>
          </a:r>
          <a:r>
            <a:rPr lang="zh-CN" altLang="en-US" sz="1100"/>
            <a:t>表的数据处理</a:t>
          </a:r>
          <a:endParaRPr lang="en-US" altLang="zh-CN" sz="1100"/>
        </a:p>
        <a:p>
          <a:r>
            <a:rPr lang="zh-CN" altLang="en-US" sz="1100">
              <a:solidFill>
                <a:srgbClr val="FF0000"/>
              </a:solidFill>
            </a:rPr>
            <a:t>如下图特殊说明 红色框即为问题</a:t>
          </a:r>
          <a:r>
            <a:rPr lang="en-US" altLang="zh-CN" sz="1100">
              <a:solidFill>
                <a:srgbClr val="FF0000"/>
              </a:solidFill>
            </a:rPr>
            <a:t>list,</a:t>
          </a:r>
          <a:r>
            <a:rPr lang="zh-CN" altLang="en-US" sz="1100">
              <a:solidFill>
                <a:srgbClr val="FF0000"/>
              </a:solidFill>
            </a:rPr>
            <a:t>将会显示在主页的选择列表中</a:t>
          </a:r>
        </a:p>
      </xdr:txBody>
    </xdr:sp>
    <xdr:clientData/>
  </xdr:oneCellAnchor>
  <xdr:twoCellAnchor editAs="oneCell">
    <xdr:from>
      <xdr:col>5</xdr:col>
      <xdr:colOff>28575</xdr:colOff>
      <xdr:row>24</xdr:row>
      <xdr:rowOff>28575</xdr:rowOff>
    </xdr:from>
    <xdr:to>
      <xdr:col>15</xdr:col>
      <xdr:colOff>247650</xdr:colOff>
      <xdr:row>28</xdr:row>
      <xdr:rowOff>38100</xdr:rowOff>
    </xdr:to>
    <xdr:pic>
      <xdr:nvPicPr>
        <xdr:cNvPr id="7" name="图片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19900" y="4143375"/>
          <a:ext cx="7077075" cy="695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0</xdr:colOff>
      <xdr:row>30</xdr:row>
      <xdr:rowOff>0</xdr:rowOff>
    </xdr:from>
    <xdr:ext cx="5856155" cy="275717"/>
    <xdr:sp macro="" textlink="">
      <xdr:nvSpPr>
        <xdr:cNvPr id="8" name="文本框 7"/>
        <xdr:cNvSpPr txBox="1"/>
      </xdr:nvSpPr>
      <xdr:spPr>
        <a:xfrm>
          <a:off x="6791325" y="5143500"/>
          <a:ext cx="5856155"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rgbClr val="FF0000"/>
              </a:solidFill>
            </a:rPr>
            <a:t>默认是支持</a:t>
          </a:r>
          <a:r>
            <a:rPr lang="en-US" altLang="zh-CN" sz="1100">
              <a:solidFill>
                <a:srgbClr val="FF0000"/>
              </a:solidFill>
            </a:rPr>
            <a:t>4</a:t>
          </a:r>
          <a:r>
            <a:rPr lang="zh-CN" altLang="en-US" sz="1100">
              <a:solidFill>
                <a:srgbClr val="FF0000"/>
              </a:solidFill>
            </a:rPr>
            <a:t>个问题在主页选择，需要增加或减少问题选择请按快捷键</a:t>
          </a:r>
          <a:r>
            <a:rPr lang="en-US" altLang="zh-CN" sz="1100">
              <a:solidFill>
                <a:srgbClr val="FF0000"/>
              </a:solidFill>
            </a:rPr>
            <a:t>CTRL+F3,</a:t>
          </a:r>
          <a:r>
            <a:rPr lang="zh-CN" altLang="en-US" sz="1100">
              <a:solidFill>
                <a:srgbClr val="FF0000"/>
              </a:solidFill>
            </a:rPr>
            <a:t>出现如下页面</a:t>
          </a:r>
        </a:p>
      </xdr:txBody>
    </xdr:sp>
    <xdr:clientData/>
  </xdr:oneCellAnchor>
  <xdr:twoCellAnchor editAs="oneCell">
    <xdr:from>
      <xdr:col>5</xdr:col>
      <xdr:colOff>0</xdr:colOff>
      <xdr:row>32</xdr:row>
      <xdr:rowOff>0</xdr:rowOff>
    </xdr:from>
    <xdr:to>
      <xdr:col>12</xdr:col>
      <xdr:colOff>275590</xdr:colOff>
      <xdr:row>40</xdr:row>
      <xdr:rowOff>161733</xdr:rowOff>
    </xdr:to>
    <xdr:pic>
      <xdr:nvPicPr>
        <xdr:cNvPr id="9" name="图片 8"/>
        <xdr:cNvPicPr>
          <a:picLocks noChangeAspect="1"/>
        </xdr:cNvPicPr>
      </xdr:nvPicPr>
      <xdr:blipFill>
        <a:blip xmlns:r="http://schemas.openxmlformats.org/officeDocument/2006/relationships" r:embed="rId3"/>
        <a:stretch>
          <a:fillRect/>
        </a:stretch>
      </xdr:blipFill>
      <xdr:spPr>
        <a:xfrm>
          <a:off x="6791325" y="5486400"/>
          <a:ext cx="5076190" cy="1533333"/>
        </a:xfrm>
        <a:prstGeom prst="rect">
          <a:avLst/>
        </a:prstGeom>
      </xdr:spPr>
    </xdr:pic>
    <xdr:clientData/>
  </xdr:twoCellAnchor>
  <xdr:oneCellAnchor>
    <xdr:from>
      <xdr:col>4</xdr:col>
      <xdr:colOff>819150</xdr:colOff>
      <xdr:row>41</xdr:row>
      <xdr:rowOff>95250</xdr:rowOff>
    </xdr:from>
    <xdr:ext cx="7190110" cy="275717"/>
    <xdr:sp macro="" textlink="">
      <xdr:nvSpPr>
        <xdr:cNvPr id="11" name="文本框 10"/>
        <xdr:cNvSpPr txBox="1"/>
      </xdr:nvSpPr>
      <xdr:spPr>
        <a:xfrm>
          <a:off x="6743700" y="7124700"/>
          <a:ext cx="7190110"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rgbClr val="FF0000"/>
              </a:solidFill>
            </a:rPr>
            <a:t>双击选择</a:t>
          </a:r>
          <a:r>
            <a:rPr lang="en-US" altLang="zh-CN" sz="1100">
              <a:solidFill>
                <a:srgbClr val="FF0000"/>
              </a:solidFill>
            </a:rPr>
            <a:t>QT,</a:t>
          </a:r>
          <a:r>
            <a:rPr lang="zh-CN" altLang="en-US" sz="1100">
              <a:solidFill>
                <a:srgbClr val="FF0000"/>
              </a:solidFill>
            </a:rPr>
            <a:t>会出现如下页面，点击引用位置，我们看在</a:t>
          </a:r>
          <a:r>
            <a:rPr lang="en-US" altLang="zh-CN" sz="1100">
              <a:solidFill>
                <a:srgbClr val="FF0000"/>
              </a:solidFill>
            </a:rPr>
            <a:t>table</a:t>
          </a:r>
          <a:r>
            <a:rPr lang="zh-CN" altLang="en-US" sz="1100">
              <a:solidFill>
                <a:srgbClr val="FF0000"/>
              </a:solidFill>
            </a:rPr>
            <a:t>栏的虚线框，它的选择区域就是主页可选择的问题</a:t>
          </a:r>
          <a:r>
            <a:rPr lang="en-US" altLang="zh-CN" sz="1100">
              <a:solidFill>
                <a:srgbClr val="FF0000"/>
              </a:solidFill>
            </a:rPr>
            <a:t>list</a:t>
          </a:r>
          <a:endParaRPr lang="zh-CN" altLang="en-US" sz="1100">
            <a:solidFill>
              <a:srgbClr val="FF0000"/>
            </a:solidFill>
          </a:endParaRPr>
        </a:p>
      </xdr:txBody>
    </xdr:sp>
    <xdr:clientData/>
  </xdr:oneCellAnchor>
  <xdr:twoCellAnchor editAs="oneCell">
    <xdr:from>
      <xdr:col>5</xdr:col>
      <xdr:colOff>0</xdr:colOff>
      <xdr:row>43</xdr:row>
      <xdr:rowOff>0</xdr:rowOff>
    </xdr:from>
    <xdr:to>
      <xdr:col>14</xdr:col>
      <xdr:colOff>646848</xdr:colOff>
      <xdr:row>58</xdr:row>
      <xdr:rowOff>56821</xdr:rowOff>
    </xdr:to>
    <xdr:pic>
      <xdr:nvPicPr>
        <xdr:cNvPr id="12" name="图片 11"/>
        <xdr:cNvPicPr>
          <a:picLocks noChangeAspect="1"/>
        </xdr:cNvPicPr>
      </xdr:nvPicPr>
      <xdr:blipFill>
        <a:blip xmlns:r="http://schemas.openxmlformats.org/officeDocument/2006/relationships" r:embed="rId4"/>
        <a:stretch>
          <a:fillRect/>
        </a:stretch>
      </xdr:blipFill>
      <xdr:spPr>
        <a:xfrm>
          <a:off x="6791325" y="7372350"/>
          <a:ext cx="6819048" cy="2628571"/>
        </a:xfrm>
        <a:prstGeom prst="rect">
          <a:avLst/>
        </a:prstGeom>
      </xdr:spPr>
    </xdr:pic>
    <xdr:clientData/>
  </xdr:twoCellAnchor>
  <xdr:oneCellAnchor>
    <xdr:from>
      <xdr:col>5</xdr:col>
      <xdr:colOff>0</xdr:colOff>
      <xdr:row>58</xdr:row>
      <xdr:rowOff>171449</xdr:rowOff>
    </xdr:from>
    <xdr:ext cx="4205960" cy="2162175"/>
    <xdr:sp macro="" textlink="">
      <xdr:nvSpPr>
        <xdr:cNvPr id="13" name="文本框 12"/>
        <xdr:cNvSpPr txBox="1"/>
      </xdr:nvSpPr>
      <xdr:spPr>
        <a:xfrm>
          <a:off x="6791325" y="10115549"/>
          <a:ext cx="4205960" cy="2162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100">
              <a:solidFill>
                <a:srgbClr val="FF0000"/>
              </a:solidFill>
            </a:rPr>
            <a:t>最后的提交状态</a:t>
          </a:r>
          <a:endParaRPr lang="en-US" altLang="zh-CN" sz="1100">
            <a:solidFill>
              <a:srgbClr val="FF0000"/>
            </a:solidFill>
          </a:endParaRPr>
        </a:p>
        <a:p>
          <a:r>
            <a:rPr lang="en-US" altLang="zh-CN" sz="1100">
              <a:solidFill>
                <a:srgbClr val="FF0000"/>
              </a:solidFill>
            </a:rPr>
            <a:t>1</a:t>
          </a:r>
          <a:r>
            <a:rPr lang="zh-CN" altLang="en-US" sz="1100">
              <a:solidFill>
                <a:srgbClr val="FF0000"/>
              </a:solidFill>
            </a:rPr>
            <a:t>）隐藏掉不需要开放给客户的表，只留下主页和使用指南表即可</a:t>
          </a:r>
          <a:endParaRPr lang="en-US" altLang="zh-CN" sz="1100">
            <a:solidFill>
              <a:srgbClr val="FF0000"/>
            </a:solidFill>
          </a:endParaRPr>
        </a:p>
        <a:p>
          <a:r>
            <a:rPr lang="en-US" altLang="zh-CN" sz="1100">
              <a:solidFill>
                <a:srgbClr val="FF0000"/>
              </a:solidFill>
            </a:rPr>
            <a:t>2</a:t>
          </a:r>
          <a:r>
            <a:rPr lang="zh-CN" altLang="en-US" sz="1100">
              <a:solidFill>
                <a:srgbClr val="FF0000"/>
              </a:solidFill>
            </a:rPr>
            <a:t>）为工作簿设置密码 如下选择“保护工作簿”</a:t>
          </a:r>
          <a:endParaRPr lang="en-US" altLang="zh-CN" sz="1100">
            <a:solidFill>
              <a:srgbClr val="FF0000"/>
            </a:solidFill>
          </a:endParaRPr>
        </a:p>
      </xdr:txBody>
    </xdr:sp>
    <xdr:clientData/>
  </xdr:oneCellAnchor>
  <xdr:twoCellAnchor editAs="oneCell">
    <xdr:from>
      <xdr:col>5</xdr:col>
      <xdr:colOff>209550</xdr:colOff>
      <xdr:row>62</xdr:row>
      <xdr:rowOff>104774</xdr:rowOff>
    </xdr:from>
    <xdr:to>
      <xdr:col>10</xdr:col>
      <xdr:colOff>371026</xdr:colOff>
      <xdr:row>70</xdr:row>
      <xdr:rowOff>56984</xdr:rowOff>
    </xdr:to>
    <xdr:pic>
      <xdr:nvPicPr>
        <xdr:cNvPr id="6" name="图片 5"/>
        <xdr:cNvPicPr>
          <a:picLocks noChangeAspect="1"/>
        </xdr:cNvPicPr>
      </xdr:nvPicPr>
      <xdr:blipFill>
        <a:blip xmlns:r="http://schemas.openxmlformats.org/officeDocument/2006/relationships" r:embed="rId5"/>
        <a:stretch>
          <a:fillRect/>
        </a:stretch>
      </xdr:blipFill>
      <xdr:spPr>
        <a:xfrm>
          <a:off x="7000875" y="10734674"/>
          <a:ext cx="3590476" cy="1323810"/>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90"/>
  <sheetViews>
    <sheetView tabSelected="1" zoomScaleNormal="100" workbookViewId="0">
      <selection activeCell="B3" sqref="B3"/>
    </sheetView>
  </sheetViews>
  <sheetFormatPr defaultRowHeight="13.5"/>
  <cols>
    <col min="1" max="1" width="18.25" style="15" customWidth="1"/>
    <col min="2" max="2" width="69.875" style="15" customWidth="1"/>
    <col min="3" max="3" width="71.875" style="15" customWidth="1"/>
    <col min="4" max="4" width="41.875" style="15" customWidth="1"/>
    <col min="5" max="16384" width="9" style="15"/>
  </cols>
  <sheetData>
    <row r="1" spans="1:4" ht="30" customHeight="1">
      <c r="A1" s="16"/>
      <c r="B1" s="16"/>
      <c r="C1" s="16"/>
      <c r="D1" s="16"/>
    </row>
    <row r="2" spans="1:4" ht="34.5" customHeight="1">
      <c r="A2" s="16"/>
      <c r="B2" s="16"/>
      <c r="C2" s="16"/>
      <c r="D2" s="16"/>
    </row>
    <row r="3" spans="1:4" ht="22.5">
      <c r="A3" s="25" t="s">
        <v>15</v>
      </c>
      <c r="B3" s="34" t="s">
        <v>279</v>
      </c>
      <c r="C3" s="26"/>
      <c r="D3" s="27"/>
    </row>
    <row r="4" spans="1:4" ht="22.5">
      <c r="A4" s="118" t="s">
        <v>31</v>
      </c>
      <c r="B4" s="119"/>
      <c r="C4" s="119"/>
      <c r="D4" s="119"/>
    </row>
    <row r="5" spans="1:4" ht="22.5">
      <c r="A5" s="110" t="s">
        <v>16</v>
      </c>
      <c r="B5" s="126" t="str">
        <f>data!L2</f>
        <v>SC9820E/SL8521E等支持spi lcd系列</v>
      </c>
      <c r="C5" s="126"/>
      <c r="D5" s="126"/>
    </row>
    <row r="6" spans="1:4" ht="22.5">
      <c r="A6" s="110" t="s">
        <v>17</v>
      </c>
      <c r="B6" s="126" t="str">
        <f>data!L3</f>
        <v>MOCOR5/Android4.4等</v>
      </c>
      <c r="C6" s="126"/>
      <c r="D6" s="126"/>
    </row>
    <row r="7" spans="1:4" ht="22.5">
      <c r="A7" s="110" t="s">
        <v>18</v>
      </c>
      <c r="B7" s="22" t="s">
        <v>19</v>
      </c>
      <c r="C7" s="23" t="s">
        <v>20</v>
      </c>
      <c r="D7" s="23" t="s">
        <v>37</v>
      </c>
    </row>
    <row r="8" spans="1:4" ht="172.5">
      <c r="A8" s="122" t="s">
        <v>21</v>
      </c>
      <c r="B8" s="28" t="str">
        <f>IF((data!L5=0),"",data!L5)</f>
        <v>检查4线或3线lcd各pin脚连线是否正确</v>
      </c>
      <c r="C8" s="28" t="str">
        <f>IF((data!M5=0),"",data!M5)</f>
        <v>cs 、clk、 data（sdi或sdo）必须要接在同一组spi通道上，不能如一个接在spi1另一个接在spi2，有cd（rs）脚的可以随便连到任何一个可用的gpio上。要与lcd ic核实使用的lcd ic要使用如下哪种spi模式，并检查对应的连线：
3线9bit I型 接口信号：SCL/CSX/SDA
3线9bit II型接口信号：SCL/CSX /SDO/SDI
4线8bit I型接口信号：SCL/CSX /DCX/SDA
4线8bit II型接口信号：SCL/CSX/DCX/SDO/SDI
3线9bit 2 data Lane 接口信号：SCL/CSX/D0/D1
I型的SDA要接在我平台端的spi_do脚上，能读能发。II型sdo发数据，sdi读id，若sdi没接，也只是不能读id了，强制返回id后不影响接下来的点屏。</v>
      </c>
      <c r="D8" s="29"/>
    </row>
    <row r="9" spans="1:4" ht="17.25">
      <c r="A9" s="122"/>
      <c r="B9" s="28" t="str">
        <f>IF((data!L6=0),"",data!L6)</f>
        <v>lcd相关pin脚pinmap配置是否正确</v>
      </c>
      <c r="C9" s="28" t="str">
        <f>IF((data!M6=0),"",data!M6)</f>
        <v>cs 、clk、 data（sdi或sdo）要配成spi模式，cd（rs）脚要配成gpio模式</v>
      </c>
      <c r="D9" s="29"/>
    </row>
    <row r="10" spans="1:4" ht="17.25">
      <c r="A10" s="122"/>
      <c r="B10" s="28" t="str">
        <f>IF((data!L7=0),"",data!L7)</f>
        <v>读id、下init data以及发数据显示时clk是否满足lcd ic要求</v>
      </c>
      <c r="C10" s="28" t="str">
        <f>IF((data!M7=0),"",data!M7)</f>
        <v>测量lcd 的spi clk具体是多少</v>
      </c>
      <c r="D10" s="29"/>
    </row>
    <row r="11" spans="1:4" ht="17.25">
      <c r="A11" s="122"/>
      <c r="B11" s="28" t="str">
        <f>IF((data!L8=0),"",data!L8)</f>
        <v/>
      </c>
      <c r="C11" s="28" t="str">
        <f>IF((data!M8=0),"",data!M8)</f>
        <v/>
      </c>
      <c r="D11" s="29"/>
    </row>
    <row r="12" spans="1:4" ht="34.5">
      <c r="A12" s="122"/>
      <c r="B12" s="28" t="str">
        <f>IF((data!L9=0),"",data!L9)</f>
        <v>lcd模组的TE脚是否连接在平台端的F_MARK脚</v>
      </c>
      <c r="C12" s="28" t="str">
        <f>IF((data!M9=0),"",data!M9)</f>
        <v>检查TE脚是否连接正常，pinmap中FMARK脚要配成gpio模式，否则可能会导致无法同步刷屏</v>
      </c>
      <c r="D12" s="29"/>
    </row>
    <row r="13" spans="1:4" ht="17.25">
      <c r="A13" s="122"/>
      <c r="B13" s="28" t="str">
        <f>IF((data!L10=0),"",data!L10)</f>
        <v>lcd模组TE信号是否正常发出</v>
      </c>
      <c r="C13" s="28" t="str">
        <f>IF((data!M10=0),"",data!M10)</f>
        <v>测量模组TE信号是否正常，如果没有TE信号，屏显会卡住不刷新</v>
      </c>
      <c r="D13" s="29"/>
    </row>
    <row r="14" spans="1:4" ht="17.25">
      <c r="A14" s="122"/>
      <c r="B14" s="28" t="str">
        <f>IF((data!L11=0),"",data!L11)</f>
        <v>开机后画面若卡在logo不更新</v>
      </c>
      <c r="C14" s="28" t="str">
        <f>IF((data!M11=0),"",data!M11)</f>
        <v>测量spi信号timing和信号完整性</v>
      </c>
      <c r="D14" s="29"/>
    </row>
    <row r="15" spans="1:4" ht="17.25">
      <c r="A15" s="122"/>
      <c r="B15" s="28" t="str">
        <f>IF((data!L12=0),"",data!L12)</f>
        <v/>
      </c>
      <c r="C15" s="28" t="str">
        <f>IF((data!M12=0),"",data!M12)</f>
        <v/>
      </c>
      <c r="D15" s="29"/>
    </row>
    <row r="16" spans="1:4" ht="17.25">
      <c r="A16" s="122"/>
      <c r="B16" s="28" t="str">
        <f>IF((data!L13=0),"",data!L13)</f>
        <v/>
      </c>
      <c r="C16" s="28" t="str">
        <f>IF((data!M13=0),"",data!M13)</f>
        <v/>
      </c>
      <c r="D16" s="29"/>
    </row>
    <row r="17" spans="1:4" ht="17.25">
      <c r="A17" s="122"/>
      <c r="B17" s="28" t="str">
        <f>IF((data!L14=0),"",data!L14)</f>
        <v/>
      </c>
      <c r="C17" s="28" t="str">
        <f>IF((data!M14=0),"",data!M14)</f>
        <v/>
      </c>
      <c r="D17" s="29"/>
    </row>
    <row r="18" spans="1:4" ht="155.25">
      <c r="A18" s="123" t="s">
        <v>22</v>
      </c>
      <c r="B18" s="28" t="str">
        <f>IF((data!L15=0),"",data!L15)</f>
        <v>画面不更新</v>
      </c>
      <c r="C18" s="28" t="str">
        <f>IF((data!M15=0),"",data!M15)</f>
        <v>1、log中如果出现"dpu wait for reg update done time out!"则表示没有等到TE中断，那么要联合lcd厂排查为什么lcd模组没有产生TE信号。若确实没法产生TE信号，就得修改kernel/drivers/video/adf/sprd/drv/dispc/swdispc.c文件swdispc_wait_te函数内的等待队列的时间，如把500ms改成1ms，或者直接注空返回。
2、卡在logo不更新，若log没有发现异常，那么可能是spi信号完整性信号质量不好，需要尝试修改lcd驱动文件内的spi速率如kernel/arch/arm/boot/dts/lcd/lcd_gc9305_spi_qvga.dtsi，把默认的spi_freq 48M改成24M，再观察能不能刷新</v>
      </c>
      <c r="D18" s="29"/>
    </row>
    <row r="19" spans="1:4" ht="86.25">
      <c r="A19" s="124"/>
      <c r="B19" s="28" t="str">
        <f>IF((data!L16=0),"",data!L16)</f>
        <v>其他问题</v>
      </c>
      <c r="C19" s="28" t="str">
        <f>IF((data!M16=0),"",data!M16)</f>
        <v>请提交cq,需要提供
1.lcd驱动配置（uboot+kernel都要提供）和硬件原理图sch
2.提供开机uart log(uboot+kernel（log_level=7）)
3.提供slog
4.check list检查结果及报告</v>
      </c>
      <c r="D19" s="29"/>
    </row>
    <row r="20" spans="1:4" ht="17.25">
      <c r="A20" s="124"/>
      <c r="B20" s="28" t="str">
        <f>IF((data!L17=0),"",data!L17)</f>
        <v/>
      </c>
      <c r="C20" s="28" t="str">
        <f>IF((data!M17=0),"",data!M17)</f>
        <v/>
      </c>
      <c r="D20" s="29"/>
    </row>
    <row r="21" spans="1:4" ht="17.25">
      <c r="A21" s="124"/>
      <c r="B21" s="28" t="str">
        <f>IF((data!L18=0),"",data!L18)</f>
        <v/>
      </c>
      <c r="C21" s="28" t="str">
        <f>IF((data!M18=0),"",data!M18)</f>
        <v/>
      </c>
      <c r="D21" s="29"/>
    </row>
    <row r="22" spans="1:4" ht="17.25">
      <c r="A22" s="124"/>
      <c r="B22" s="28" t="str">
        <f>IF((data!L19=0),"",data!L19)</f>
        <v/>
      </c>
      <c r="C22" s="28" t="str">
        <f>IF((data!M19=0),"",data!M19)</f>
        <v/>
      </c>
      <c r="D22" s="29"/>
    </row>
    <row r="23" spans="1:4" ht="17.25">
      <c r="A23" s="124"/>
      <c r="B23" s="28" t="str">
        <f>IF((data!L20=0),"",data!L20)</f>
        <v/>
      </c>
      <c r="C23" s="28" t="str">
        <f>IF((data!M20=0),"",data!M20)</f>
        <v/>
      </c>
      <c r="D23" s="29"/>
    </row>
    <row r="24" spans="1:4" ht="17.25">
      <c r="A24" s="124"/>
      <c r="B24" s="28" t="str">
        <f>IF((data!L21=0),"",data!L21)</f>
        <v/>
      </c>
      <c r="C24" s="28" t="str">
        <f>IF((data!M21=0),"",data!M21)</f>
        <v/>
      </c>
      <c r="D24" s="30"/>
    </row>
    <row r="25" spans="1:4" ht="17.25">
      <c r="A25" s="124"/>
      <c r="B25" s="28" t="str">
        <f>IF((data!L22=0),"",data!L22)</f>
        <v/>
      </c>
      <c r="C25" s="28" t="str">
        <f>IF((data!M22=0),"",data!M22)</f>
        <v/>
      </c>
      <c r="D25" s="30"/>
    </row>
    <row r="26" spans="1:4" ht="17.25">
      <c r="A26" s="124"/>
      <c r="B26" s="28" t="str">
        <f>IF((data!L23=0),"",data!L23)</f>
        <v/>
      </c>
      <c r="C26" s="28" t="str">
        <f>IF((data!M23=0),"",data!M23)</f>
        <v/>
      </c>
      <c r="D26" s="30"/>
    </row>
    <row r="27" spans="1:4" ht="17.25">
      <c r="A27" s="125"/>
      <c r="B27" s="28" t="str">
        <f>IF((data!L24=0),"",data!L24)</f>
        <v/>
      </c>
      <c r="C27" s="28" t="str">
        <f>IF((data!M24=0),"",data!M24)</f>
        <v/>
      </c>
      <c r="D27" s="30"/>
    </row>
    <row r="28" spans="1:4" ht="22.5">
      <c r="A28" s="120" t="s">
        <v>48</v>
      </c>
      <c r="B28" s="121"/>
      <c r="C28" s="121"/>
      <c r="D28" s="121"/>
    </row>
    <row r="29" spans="1:4" ht="22.5">
      <c r="A29" s="32" t="s">
        <v>7</v>
      </c>
      <c r="B29" s="116" t="str">
        <f>IF((data!I2=0),"",data!I2)</f>
        <v>新增spi lcd如何配置</v>
      </c>
      <c r="C29" s="117"/>
      <c r="D29" s="117"/>
    </row>
    <row r="30" spans="1:4" ht="22.5">
      <c r="A30" s="32" t="s">
        <v>8</v>
      </c>
      <c r="B30" s="113" t="str">
        <f>IF((data!I3=0),"",data!I3)</f>
        <v>请参考我司发布的对应平台的客户化配置文档等, 若没有请提cq</v>
      </c>
      <c r="C30" s="24"/>
      <c r="D30" s="24"/>
    </row>
    <row r="31" spans="1:4" ht="21.75" customHeight="1">
      <c r="A31" s="33"/>
      <c r="B31" s="128"/>
      <c r="C31" s="128"/>
      <c r="D31" s="128"/>
    </row>
    <row r="32" spans="1:4" ht="22.5">
      <c r="A32" s="32" t="s">
        <v>7</v>
      </c>
      <c r="B32" s="116" t="str">
        <f>IF((data!I5=0),"",data!I5)</f>
        <v>怎么配置4线8bit II型</v>
      </c>
      <c r="C32" s="117"/>
      <c r="D32" s="117"/>
    </row>
    <row r="33" spans="1:4" ht="67.5">
      <c r="A33" s="32" t="s">
        <v>8</v>
      </c>
      <c r="B33" s="114" t="str">
        <f>IF((data!I6=0),"",data!I6)</f>
        <v>平台参考机是4线8bit I，4线8bit II型需要在如u-boot15/include/configs/sp9820e_2c10.h把宏
CONFIG_SPIMODE_4WIRE_8BIT_SDIO打开，另外根据硬件连线把pinmap中对应的sdi、sdo配置成spi模式。其他3线的配置请提cq</v>
      </c>
      <c r="C33" s="24"/>
      <c r="D33" s="24"/>
    </row>
    <row r="34" spans="1:4" ht="22.5">
      <c r="A34" s="33"/>
      <c r="B34" s="127"/>
      <c r="C34" s="127"/>
      <c r="D34" s="127"/>
    </row>
    <row r="35" spans="1:4" ht="22.5">
      <c r="A35" s="32" t="s">
        <v>7</v>
      </c>
      <c r="B35" s="116" t="str">
        <f>IF((data!I8=0),"",data!I8)</f>
        <v>spi屏显示上下偏移，怎么调整显示窗口？</v>
      </c>
      <c r="C35" s="117"/>
      <c r="D35" s="117"/>
    </row>
    <row r="36" spans="1:4" ht="409.6">
      <c r="A36" s="32" t="s">
        <v>8</v>
      </c>
      <c r="B36" s="31" t="str">
        <f>IF((data!I9=0),"",data!I9)</f>
        <v>由于spi lcd ic和模组配置不一致导致的上下左右偏移问题均可通过配置2a 2b寄存器的值来调整。
举例如lcd显示往下偏移了40个像素，修改方法：
1、
lcd_gc9305_spi.c (u-boot15\drivers\video\sprdfb\lcd) 
static int32_t gc9305_set_window(struct panel_spec *self,
        uint16_t left, uint16_t top, uint16_t right, uint16_t bottom)
{
    GC9305_SpiWriteCmd(0x2B);
    GC9305_SpiWriteData((top&gt;&gt;8));// set left address
    GC9305_SpiWriteData((top&amp;0xff) + 0x28);          //这里+ 0x28
    GC9305_SpiWriteData((bottom&gt;&gt;8));// set bottom address
    GC9305_SpiWriteData((bottom&amp;0xff) + 0x28);       //这里+ 0x28
    GC9305_SpiWriteCmd(0x2C);
2、
sprd_spi_intf.c (kernel\drivers\video\adf\sprd\drv)
static unsigned char sprd_refresh_data[][4] = { { 0x00, 0x00, 0x00, 0xef },
                    { 0x00, 0x28, 0x01, 0x3f } };  //第1行1列[1][1]+ 0x28
static int sprd_spi_config(struct panel_info *panel)
{
...
    sprd_refresh_data[1][3] = (height - 1) &amp; 0xff + 0x28;    //这行值+ 0x28
...</v>
      </c>
      <c r="C36" s="24"/>
      <c r="D36" s="24"/>
    </row>
    <row r="37" spans="1:4" ht="22.5">
      <c r="A37" s="33"/>
      <c r="B37" s="127"/>
      <c r="C37" s="127"/>
      <c r="D37" s="127"/>
    </row>
    <row r="38" spans="1:4" ht="22.5">
      <c r="A38" s="32" t="s">
        <v>7</v>
      </c>
      <c r="B38" s="116" t="str">
        <f>IF((data!I11=0),"",data!I11)</f>
        <v>怎么降低下初始化参数init data时的速率？</v>
      </c>
      <c r="C38" s="117"/>
      <c r="D38" s="117"/>
    </row>
    <row r="39" spans="1:4" ht="381">
      <c r="A39" s="32" t="s">
        <v>8</v>
      </c>
      <c r="B39" s="31" t="str">
        <f>IF((data!I12=0),"",data!I12)</f>
        <v>某颗lcd ic 在uboot显示正常，灭屏唤醒后就显示异常了，是因为init data没有下成功，
之所以uboot能正常显示，是因为uboot下初始化参数使用的spi 速率是24M，而在kernel中spi速率是48M。
方法就是在kerne里下init data前把spi速率切成24M，下完init data再切回48M：
panel_ops_spi.c (kernel\drivers\video\adf\sprd\drv\panel-if)文件内下初始化前后切换时钟：
static int32_t spi_panel_init(struct panel_device *pd)
{
    struct sprd_spi *spi = dev_get_drvdata(pd-&gt;intf);
    struct panel_info *panel = pd-&gt;panel;
++    struct spi_device *spi_dev = spi-&gt;spi_dev;
++    spi_dev-&gt;max_speed_hz = 24000000;
++    spi_setup(spi_dev);
        spi_panel_send_cmds(spi, panel-&gt;cmd_codes[CMD_CODE_INIT]);
++    spi_dev-&gt;max_speed_hz = 48000000;
++    spi_setup(spi_dev);
    return 0;
}</v>
      </c>
      <c r="C39" s="24"/>
      <c r="D39" s="24"/>
    </row>
    <row r="40" spans="1:4" ht="22.5">
      <c r="A40" s="33"/>
      <c r="B40" s="127"/>
      <c r="C40" s="127"/>
      <c r="D40" s="127"/>
    </row>
    <row r="41" spans="1:4" ht="22.5">
      <c r="A41" s="32" t="s">
        <v>7</v>
      </c>
      <c r="B41" s="116" t="str">
        <f>IF((data!I14=0),"",data!I14)</f>
        <v>spi lcd读不到id，如果要求写完命令cs保持使能的修改</v>
      </c>
      <c r="C41" s="117"/>
      <c r="D41" s="117"/>
    </row>
    <row r="42" spans="1:4" ht="225.75">
      <c r="A42" s="32" t="s">
        <v>8</v>
      </c>
      <c r="B42" s="31" t="str">
        <f>IF((data!I15=0),"",data!I15)</f>
        <v>此问题只针对spi已经通的情况下或者屏已经点亮了，但是lcd id读到的全是0, lcd ic 若要求写cmd后cs不能拉低，要保持使能:
sprdfb_spi.c (u-boot15\drivers\video\sprdfb)
static void DISPC_SpiWriteCmd(uint32_t cmd)
{
    sprd_spi_set_data_width(8);
    sprd_spi_set_cs(0, TRUE);
    sprd_gpio_set(NULL, LCM_GPIO_CDPIN,0);
    // Write a data identical with buswidth
    sprd_spi_write_data( &amp;cmd, 1, 0);
-    sprd_spi_set_cs(0, FALSE);  //去掉这一行，保持发完命令后cs一直使能
}</v>
      </c>
      <c r="C42" s="24"/>
      <c r="D42" s="24"/>
    </row>
    <row r="43" spans="1:4" ht="22.5">
      <c r="A43" s="33"/>
      <c r="B43" s="127"/>
      <c r="C43" s="127"/>
      <c r="D43" s="127"/>
    </row>
    <row r="44" spans="1:4" ht="22.5">
      <c r="A44" s="32" t="s">
        <v>7</v>
      </c>
      <c r="B44" s="116" t="str">
        <f>IF((data!I17=0),"",data!I17)</f>
        <v>切屏问题</v>
      </c>
      <c r="C44" s="117"/>
      <c r="D44" s="117"/>
    </row>
    <row r="45" spans="1:4" ht="58.5">
      <c r="A45" s="32" t="s">
        <v>8</v>
      </c>
      <c r="B45" s="113" t="str">
        <f>IF((data!I18=0),"",data!I18)</f>
        <v>平台端lcd spi clk 48M、分辨率240×320，一般默认帧率为30帧左右。如果切屏了，请排查：
1、loglevel是否是默认的1或者改成0，提高系统性能
2、保证TE自刷新速率小于平台刷新率的2倍，lcd自刷新速率调整请联系lcd 厂商
3、如果lcd模组不能产生TE信号，那么平台端无法解决切屏</v>
      </c>
      <c r="C45" s="24"/>
      <c r="D45" s="24"/>
    </row>
    <row r="46" spans="1:4" ht="22.5">
      <c r="A46" s="33"/>
      <c r="B46" s="111"/>
      <c r="C46" s="111"/>
      <c r="D46" s="111"/>
    </row>
    <row r="47" spans="1:4" ht="22.5">
      <c r="A47" s="32" t="s">
        <v>7</v>
      </c>
      <c r="B47" s="116" t="str">
        <f>IF((data!I20=0),"",data!I20)</f>
        <v>背光闪的问题</v>
      </c>
      <c r="C47" s="117"/>
      <c r="D47" s="117"/>
    </row>
    <row r="48" spans="1:4" ht="22.5">
      <c r="A48" s="32" t="s">
        <v>8</v>
      </c>
      <c r="B48" s="113" t="str">
        <f>IF((data!I21=0),"",data!I21)</f>
        <v>spi lcd基本没有出现过屏闪，大都是背光闪，方法是提高背光pwm频率,可参考FAQ117208</v>
      </c>
      <c r="C48" s="24"/>
      <c r="D48" s="24"/>
    </row>
    <row r="49" spans="1:4" ht="22.5">
      <c r="A49" s="33"/>
      <c r="B49" s="127"/>
      <c r="C49" s="127"/>
      <c r="D49" s="127"/>
    </row>
    <row r="50" spans="1:4" ht="22.5">
      <c r="A50" s="32" t="s">
        <v>7</v>
      </c>
      <c r="B50" s="116" t="str">
        <f>IF((data!I23=0),"",data!I23)</f>
        <v>噪点问题</v>
      </c>
      <c r="C50" s="117"/>
      <c r="D50" s="117"/>
    </row>
    <row r="51" spans="1:4" ht="87.75">
      <c r="A51" s="32" t="s">
        <v>8</v>
      </c>
      <c r="B51" s="31" t="str">
        <f>IF((data!I24=0),"",data!I24)</f>
        <v xml:space="preserve">kernel默认spi时钟48M如果就有噪点要找屏厂看看该ic是否支持48M，一般是降低spi clk能解决，位置如
kernel/arch/arm/boot/dts/lcd/lcd_gc9305_spi_qvga.dtsi文件中的spi_freq
</v>
      </c>
      <c r="C51" s="24"/>
      <c r="D51" s="24"/>
    </row>
    <row r="52" spans="1:4" ht="22.5">
      <c r="A52" s="33"/>
      <c r="B52" s="127"/>
      <c r="C52" s="127"/>
      <c r="D52" s="127"/>
    </row>
    <row r="53" spans="1:4" ht="22.5">
      <c r="A53" s="32" t="s">
        <v>7</v>
      </c>
      <c r="B53" s="116" t="str">
        <f>IF((data!I26=0),"",data!I26)</f>
        <v>spi速率和spi lcd的帧率介绍</v>
      </c>
      <c r="C53" s="117"/>
      <c r="D53" s="117"/>
    </row>
    <row r="54" spans="1:4" ht="122.25">
      <c r="A54" s="32" t="s">
        <v>8</v>
      </c>
      <c r="B54" s="31" t="str">
        <f>IF((data!I27=0),"",data!I27)</f>
        <v>sc9820e、sl8521e、sl8541e、sc9832e的spi1是48M,spi0和spi2是24M.
理论帧率计算:fps=SPI_CLK*K/(W*H*T)*η
如用的spi1则SPI_CLK是48M；K是数据线数，仅3线9bit 2 data Lane型是2，其他的都是1；W是分辨率像素宽，H分辨率像素高，T是一个像素的bit数，如rgb565，则T是16；η是数据传输的效率值，通常是0.8.
那么我们参考设计4线8bit I型，spi1 240×320的rgb565 lcd的帧率是48M×1÷(240×320×16)×0.8约31帧。</v>
      </c>
      <c r="C54" s="24"/>
      <c r="D54" s="24"/>
    </row>
    <row r="55" spans="1:4" ht="22.5">
      <c r="A55" s="33"/>
      <c r="B55" s="127"/>
      <c r="C55" s="127"/>
      <c r="D55" s="127"/>
    </row>
    <row r="56" spans="1:4" ht="22.5">
      <c r="A56" s="32" t="s">
        <v>7</v>
      </c>
      <c r="B56" s="116" t="str">
        <f>IF((data!I29=0),"",data!I29)</f>
        <v/>
      </c>
      <c r="C56" s="117"/>
      <c r="D56" s="117"/>
    </row>
    <row r="57" spans="1:4" ht="22.5">
      <c r="A57" s="32" t="s">
        <v>8</v>
      </c>
      <c r="B57" s="31" t="str">
        <f>IF((data!I30=0),"",data!I30)</f>
        <v/>
      </c>
      <c r="C57" s="24"/>
      <c r="D57" s="24"/>
    </row>
    <row r="58" spans="1:4" ht="22.5">
      <c r="A58" s="33"/>
      <c r="B58" s="111"/>
      <c r="C58" s="111"/>
      <c r="D58" s="111"/>
    </row>
    <row r="59" spans="1:4" ht="22.5">
      <c r="A59" s="32" t="s">
        <v>7</v>
      </c>
      <c r="B59" s="116" t="str">
        <f>IF((data!I32=0),"",data!I32)</f>
        <v/>
      </c>
      <c r="C59" s="117"/>
      <c r="D59" s="117"/>
    </row>
    <row r="60" spans="1:4" ht="22.5">
      <c r="A60" s="32" t="s">
        <v>8</v>
      </c>
      <c r="B60" s="31" t="str">
        <f>IF((data!I33=0),"",data!I33)</f>
        <v/>
      </c>
      <c r="C60" s="24"/>
      <c r="D60" s="24"/>
    </row>
    <row r="61" spans="1:4" ht="22.5">
      <c r="A61" s="33"/>
      <c r="B61" s="127"/>
      <c r="C61" s="127"/>
      <c r="D61" s="127"/>
    </row>
    <row r="62" spans="1:4" ht="22.5">
      <c r="A62" s="32" t="s">
        <v>7</v>
      </c>
      <c r="B62" s="116" t="str">
        <f>IF((data!I35=0),"",data!I35)</f>
        <v/>
      </c>
      <c r="C62" s="117"/>
      <c r="D62" s="117"/>
    </row>
    <row r="63" spans="1:4" ht="22.5">
      <c r="A63" s="32" t="s">
        <v>8</v>
      </c>
      <c r="B63" s="31" t="str">
        <f>IF((data!I36=0),"",data!I36)</f>
        <v/>
      </c>
      <c r="C63" s="24"/>
      <c r="D63" s="24"/>
    </row>
    <row r="64" spans="1:4" ht="22.5">
      <c r="A64" s="33"/>
      <c r="B64" s="127"/>
      <c r="C64" s="127"/>
      <c r="D64" s="127"/>
    </row>
    <row r="65" spans="1:4" ht="22.5">
      <c r="A65" s="32" t="s">
        <v>7</v>
      </c>
      <c r="B65" s="116" t="str">
        <f>IF((data!I38=0),"",data!I38)</f>
        <v/>
      </c>
      <c r="C65" s="117"/>
      <c r="D65" s="117"/>
    </row>
    <row r="66" spans="1:4" ht="22.5">
      <c r="A66" s="32" t="s">
        <v>8</v>
      </c>
      <c r="B66" s="31" t="str">
        <f>IF((data!I39=0),"",data!I39)</f>
        <v/>
      </c>
      <c r="C66" s="24"/>
      <c r="D66" s="24"/>
    </row>
    <row r="67" spans="1:4" ht="22.5">
      <c r="A67" s="33"/>
      <c r="B67" s="127"/>
      <c r="C67" s="127"/>
      <c r="D67" s="127"/>
    </row>
    <row r="68" spans="1:4" ht="22.5">
      <c r="A68" s="32" t="s">
        <v>7</v>
      </c>
      <c r="B68" s="116" t="str">
        <f>IF((data!I41=0),"",data!I41)</f>
        <v/>
      </c>
      <c r="C68" s="117"/>
      <c r="D68" s="117"/>
    </row>
    <row r="69" spans="1:4" ht="22.5">
      <c r="A69" s="32" t="s">
        <v>8</v>
      </c>
      <c r="B69" s="31" t="str">
        <f>IF((data!I42=0),"",data!I42)</f>
        <v/>
      </c>
      <c r="C69" s="24"/>
      <c r="D69" s="24"/>
    </row>
    <row r="70" spans="1:4" ht="22.5">
      <c r="A70" s="33"/>
      <c r="B70" s="111"/>
      <c r="C70" s="111"/>
      <c r="D70" s="111"/>
    </row>
    <row r="71" spans="1:4" ht="22.5">
      <c r="A71" s="32" t="s">
        <v>7</v>
      </c>
      <c r="B71" s="116" t="str">
        <f>IF((data!I44=0),"",data!I44)</f>
        <v/>
      </c>
      <c r="C71" s="117"/>
      <c r="D71" s="117"/>
    </row>
    <row r="72" spans="1:4" ht="22.5">
      <c r="A72" s="32" t="s">
        <v>8</v>
      </c>
      <c r="B72" s="31" t="str">
        <f>IF((data!I45=0),"",data!I45)</f>
        <v/>
      </c>
      <c r="C72" s="24"/>
      <c r="D72" s="24"/>
    </row>
    <row r="73" spans="1:4" ht="22.5">
      <c r="A73" s="33"/>
      <c r="B73" s="127"/>
      <c r="C73" s="127"/>
      <c r="D73" s="127"/>
    </row>
    <row r="74" spans="1:4" ht="22.5">
      <c r="A74" s="32" t="s">
        <v>7</v>
      </c>
      <c r="B74" s="116" t="str">
        <f>IF((data!I47=0),"",data!I47)</f>
        <v/>
      </c>
      <c r="C74" s="117"/>
      <c r="D74" s="117"/>
    </row>
    <row r="75" spans="1:4" ht="22.5">
      <c r="A75" s="32" t="s">
        <v>8</v>
      </c>
      <c r="B75" s="31" t="str">
        <f>IF((data!I48=0),"",data!I48)</f>
        <v/>
      </c>
      <c r="C75" s="24"/>
      <c r="D75" s="24"/>
    </row>
    <row r="76" spans="1:4" ht="22.5">
      <c r="A76" s="33"/>
      <c r="B76" s="127"/>
      <c r="C76" s="127"/>
      <c r="D76" s="127"/>
    </row>
    <row r="77" spans="1:4" ht="22.5">
      <c r="A77" s="32" t="s">
        <v>7</v>
      </c>
      <c r="B77" s="116" t="str">
        <f>IF((data!I50=0),"",data!I50)</f>
        <v/>
      </c>
      <c r="C77" s="117"/>
      <c r="D77" s="117"/>
    </row>
    <row r="78" spans="1:4" ht="22.5">
      <c r="A78" s="32" t="s">
        <v>8</v>
      </c>
      <c r="B78" s="31" t="str">
        <f>IF((data!I51=0),"",data!I51)</f>
        <v/>
      </c>
      <c r="C78" s="24"/>
      <c r="D78" s="24"/>
    </row>
    <row r="79" spans="1:4" ht="22.5">
      <c r="A79" s="33"/>
      <c r="B79" s="127"/>
      <c r="C79" s="127"/>
      <c r="D79" s="127"/>
    </row>
    <row r="80" spans="1:4" ht="22.5">
      <c r="A80" s="32" t="s">
        <v>7</v>
      </c>
      <c r="B80" s="116" t="str">
        <f>IF((data!I53=0),"",data!I53)</f>
        <v/>
      </c>
      <c r="C80" s="117"/>
      <c r="D80" s="117"/>
    </row>
    <row r="81" spans="1:4" ht="22.5">
      <c r="A81" s="32" t="s">
        <v>8</v>
      </c>
      <c r="B81" s="31" t="str">
        <f>IF((data!I54=0),"",data!I54)</f>
        <v/>
      </c>
      <c r="C81" s="24"/>
      <c r="D81" s="24"/>
    </row>
    <row r="82" spans="1:4" ht="22.5">
      <c r="A82" s="33"/>
      <c r="B82" s="111"/>
      <c r="C82" s="111"/>
      <c r="D82" s="111"/>
    </row>
    <row r="83" spans="1:4" ht="22.5">
      <c r="A83" s="32" t="s">
        <v>7</v>
      </c>
      <c r="B83" s="116" t="str">
        <f>IF((data!I56=0),"",data!I56)</f>
        <v/>
      </c>
      <c r="C83" s="117"/>
      <c r="D83" s="117"/>
    </row>
    <row r="84" spans="1:4" ht="22.5">
      <c r="A84" s="32" t="s">
        <v>8</v>
      </c>
      <c r="B84" s="31" t="str">
        <f>IF((data!I57=0),"",data!I57)</f>
        <v/>
      </c>
      <c r="C84" s="24"/>
      <c r="D84" s="24"/>
    </row>
    <row r="85" spans="1:4" ht="22.5">
      <c r="A85" s="33"/>
      <c r="B85" s="111"/>
      <c r="C85" s="111"/>
      <c r="D85" s="111"/>
    </row>
    <row r="86" spans="1:4" ht="22.5">
      <c r="A86" s="32" t="s">
        <v>7</v>
      </c>
      <c r="B86" s="116" t="str">
        <f>IF((data!I59=0),"",data!I59)</f>
        <v/>
      </c>
      <c r="C86" s="117"/>
      <c r="D86" s="117"/>
    </row>
    <row r="87" spans="1:4" ht="22.5">
      <c r="A87" s="32" t="s">
        <v>8</v>
      </c>
      <c r="B87" s="31" t="str">
        <f>IF((data!I60=0),"",data!I60)</f>
        <v/>
      </c>
      <c r="C87" s="24"/>
      <c r="D87" s="24"/>
    </row>
    <row r="88" spans="1:4" ht="22.5">
      <c r="A88" s="33"/>
      <c r="B88" s="111"/>
      <c r="C88" s="111"/>
      <c r="D88" s="111"/>
    </row>
    <row r="89" spans="1:4" ht="22.5">
      <c r="A89" s="32" t="s">
        <v>7</v>
      </c>
      <c r="B89" s="116" t="str">
        <f>IF((data!I62=0),"",data!I62)</f>
        <v/>
      </c>
      <c r="C89" s="117"/>
      <c r="D89" s="117"/>
    </row>
    <row r="90" spans="1:4" ht="22.5">
      <c r="A90" s="32" t="s">
        <v>8</v>
      </c>
      <c r="B90" s="31" t="str">
        <f>IF((data!I63=0),"",data!I63)</f>
        <v/>
      </c>
      <c r="C90" s="24"/>
      <c r="D90" s="24"/>
    </row>
  </sheetData>
  <sheetProtection algorithmName="SHA-512" hashValue="Qs1yZ2liJOSXf9V4erW4OofpYeyiqZhoAimTza/fQv0gfjCfarE2OpWcFLPC313zZeHR9/WTkLgXT55tsw69ig==" saltValue="k6lQZY/lo8KL8nPZTK1V2g==" spinCount="100000" sheet="1" objects="1" scenarios="1" formatCells="0"/>
  <mergeCells count="41">
    <mergeCell ref="B83:D83"/>
    <mergeCell ref="B73:D73"/>
    <mergeCell ref="B74:D74"/>
    <mergeCell ref="B76:D76"/>
    <mergeCell ref="B71:D71"/>
    <mergeCell ref="B77:D77"/>
    <mergeCell ref="B79:D79"/>
    <mergeCell ref="B80:D80"/>
    <mergeCell ref="B47:D47"/>
    <mergeCell ref="B49:D49"/>
    <mergeCell ref="B50:D50"/>
    <mergeCell ref="B68:D68"/>
    <mergeCell ref="B55:D55"/>
    <mergeCell ref="B56:D56"/>
    <mergeCell ref="B61:D61"/>
    <mergeCell ref="B62:D62"/>
    <mergeCell ref="B59:D59"/>
    <mergeCell ref="B64:D64"/>
    <mergeCell ref="B65:D65"/>
    <mergeCell ref="B67:D67"/>
    <mergeCell ref="B38:D38"/>
    <mergeCell ref="B40:D40"/>
    <mergeCell ref="B41:D41"/>
    <mergeCell ref="B43:D43"/>
    <mergeCell ref="B44:D44"/>
    <mergeCell ref="B86:D86"/>
    <mergeCell ref="B89:D89"/>
    <mergeCell ref="A4:D4"/>
    <mergeCell ref="A28:D28"/>
    <mergeCell ref="B29:D29"/>
    <mergeCell ref="A8:A17"/>
    <mergeCell ref="A18:A27"/>
    <mergeCell ref="B5:D5"/>
    <mergeCell ref="B6:D6"/>
    <mergeCell ref="B52:D52"/>
    <mergeCell ref="B53:D53"/>
    <mergeCell ref="B32:D32"/>
    <mergeCell ref="B35:D35"/>
    <mergeCell ref="B31:D31"/>
    <mergeCell ref="B34:D34"/>
    <mergeCell ref="B37:D37"/>
  </mergeCells>
  <phoneticPr fontId="1" type="noConversion"/>
  <dataValidations count="1">
    <dataValidation type="list" allowBlank="1" showInputMessage="1" showErrorMessage="1" sqref="B3">
      <formula1>QT</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35"/>
  <sheetViews>
    <sheetView zoomScaleNormal="100" workbookViewId="0">
      <selection activeCell="G17" sqref="G17"/>
    </sheetView>
  </sheetViews>
  <sheetFormatPr defaultRowHeight="13.5"/>
  <cols>
    <col min="1" max="1" width="18.5" customWidth="1"/>
    <col min="2" max="2" width="51.375" customWidth="1"/>
    <col min="3" max="3" width="63.125" customWidth="1"/>
    <col min="4" max="4" width="42.125" customWidth="1"/>
  </cols>
  <sheetData>
    <row r="1" spans="1:5" ht="126" customHeight="1" thickBot="1">
      <c r="A1" s="87"/>
      <c r="B1" s="132"/>
      <c r="C1" s="133"/>
      <c r="D1" s="134"/>
    </row>
    <row r="2" spans="1:5" ht="23.25" thickTop="1">
      <c r="A2" s="135" t="s">
        <v>25</v>
      </c>
      <c r="B2" s="136"/>
      <c r="C2" s="136"/>
      <c r="D2" s="137"/>
      <c r="E2" s="2"/>
    </row>
    <row r="3" spans="1:5" ht="17.25">
      <c r="A3" s="88" t="s">
        <v>16</v>
      </c>
      <c r="B3" s="138" t="s">
        <v>30</v>
      </c>
      <c r="C3" s="139"/>
      <c r="D3" s="140"/>
    </row>
    <row r="4" spans="1:5" ht="17.25">
      <c r="A4" s="88" t="s">
        <v>17</v>
      </c>
      <c r="B4" s="138" t="s">
        <v>29</v>
      </c>
      <c r="C4" s="139"/>
      <c r="D4" s="140"/>
    </row>
    <row r="5" spans="1:5" ht="15.75">
      <c r="A5" s="89" t="s">
        <v>18</v>
      </c>
      <c r="B5" s="90" t="s">
        <v>19</v>
      </c>
      <c r="C5" s="91" t="s">
        <v>50</v>
      </c>
      <c r="D5" s="92" t="s">
        <v>24</v>
      </c>
    </row>
    <row r="6" spans="1:5" ht="34.5">
      <c r="A6" s="141" t="s">
        <v>21</v>
      </c>
      <c r="B6" s="93" t="s">
        <v>40</v>
      </c>
      <c r="C6" s="94" t="s">
        <v>49</v>
      </c>
      <c r="D6" s="95"/>
    </row>
    <row r="7" spans="1:5" ht="17.25">
      <c r="A7" s="142"/>
      <c r="B7" s="93" t="s">
        <v>45</v>
      </c>
      <c r="C7" s="94" t="s">
        <v>46</v>
      </c>
      <c r="D7" s="95"/>
    </row>
    <row r="8" spans="1:5" ht="17.25">
      <c r="A8" s="142"/>
      <c r="B8" s="93"/>
      <c r="C8" s="94"/>
      <c r="D8" s="95"/>
    </row>
    <row r="9" spans="1:5" ht="17.25">
      <c r="A9" s="142"/>
      <c r="B9" s="93"/>
      <c r="C9" s="94"/>
      <c r="D9" s="95"/>
    </row>
    <row r="10" spans="1:5" ht="17.25">
      <c r="A10" s="142"/>
      <c r="B10" s="93"/>
      <c r="C10" s="94"/>
      <c r="D10" s="95"/>
    </row>
    <row r="11" spans="1:5" ht="17.25">
      <c r="A11" s="142"/>
      <c r="B11" s="93"/>
      <c r="C11" s="94"/>
      <c r="D11" s="95"/>
    </row>
    <row r="12" spans="1:5" ht="17.25">
      <c r="A12" s="142"/>
      <c r="B12" s="93"/>
      <c r="C12" s="94"/>
      <c r="D12" s="95"/>
    </row>
    <row r="13" spans="1:5" ht="17.25">
      <c r="A13" s="142"/>
      <c r="B13" s="93"/>
      <c r="C13" s="94"/>
      <c r="D13" s="95"/>
    </row>
    <row r="14" spans="1:5" ht="17.25">
      <c r="A14" s="142"/>
      <c r="B14" s="93"/>
      <c r="C14" s="94"/>
      <c r="D14" s="95"/>
    </row>
    <row r="15" spans="1:5" ht="17.25">
      <c r="A15" s="143"/>
      <c r="B15" s="93"/>
      <c r="C15" s="94"/>
      <c r="D15" s="95"/>
    </row>
    <row r="16" spans="1:5" ht="17.25">
      <c r="A16" s="141" t="s">
        <v>22</v>
      </c>
      <c r="B16" s="96" t="s">
        <v>39</v>
      </c>
      <c r="C16" s="97" t="s">
        <v>23</v>
      </c>
      <c r="D16" s="98"/>
    </row>
    <row r="17" spans="1:4" ht="17.25">
      <c r="A17" s="142"/>
      <c r="B17" s="96" t="s">
        <v>44</v>
      </c>
      <c r="C17" s="99" t="s">
        <v>46</v>
      </c>
      <c r="D17" s="98"/>
    </row>
    <row r="18" spans="1:4" ht="17.25">
      <c r="A18" s="142"/>
      <c r="B18" s="96" t="s">
        <v>42</v>
      </c>
      <c r="C18" s="97" t="s">
        <v>43</v>
      </c>
      <c r="D18" s="98"/>
    </row>
    <row r="19" spans="1:4" ht="17.25">
      <c r="A19" s="142"/>
      <c r="B19" s="96"/>
      <c r="C19" s="97"/>
      <c r="D19" s="98"/>
    </row>
    <row r="20" spans="1:4" ht="17.25">
      <c r="A20" s="142"/>
      <c r="B20" s="96"/>
      <c r="C20" s="97"/>
      <c r="D20" s="98"/>
    </row>
    <row r="21" spans="1:4" ht="17.25">
      <c r="A21" s="142"/>
      <c r="B21" s="96"/>
      <c r="C21" s="97"/>
      <c r="D21" s="98"/>
    </row>
    <row r="22" spans="1:4">
      <c r="A22" s="142"/>
      <c r="B22" s="100"/>
      <c r="C22" s="100"/>
      <c r="D22" s="101"/>
    </row>
    <row r="23" spans="1:4">
      <c r="A23" s="142"/>
      <c r="B23" s="100"/>
      <c r="C23" s="100"/>
      <c r="D23" s="101"/>
    </row>
    <row r="24" spans="1:4">
      <c r="A24" s="142"/>
      <c r="B24" s="100"/>
      <c r="C24" s="100"/>
      <c r="D24" s="101"/>
    </row>
    <row r="25" spans="1:4" ht="14.25" thickBot="1">
      <c r="A25" s="144"/>
      <c r="B25" s="102"/>
      <c r="C25" s="102"/>
      <c r="D25" s="103"/>
    </row>
    <row r="26" spans="1:4" ht="17.25" thickTop="1">
      <c r="A26" s="130" t="s">
        <v>48</v>
      </c>
      <c r="B26" s="131"/>
      <c r="C26" s="131"/>
      <c r="D26" s="131"/>
    </row>
    <row r="27" spans="1:4" ht="16.5">
      <c r="A27" s="104" t="s">
        <v>7</v>
      </c>
      <c r="B27" s="105" t="s">
        <v>3</v>
      </c>
      <c r="C27" s="106"/>
      <c r="D27" s="106"/>
    </row>
    <row r="28" spans="1:4" ht="16.5">
      <c r="A28" s="104" t="s">
        <v>8</v>
      </c>
      <c r="B28" s="105" t="s">
        <v>4</v>
      </c>
      <c r="C28" s="107"/>
      <c r="D28" s="107"/>
    </row>
    <row r="29" spans="1:4" ht="16.5">
      <c r="A29" s="19"/>
      <c r="B29" s="6"/>
      <c r="C29" s="21"/>
      <c r="D29" s="21"/>
    </row>
    <row r="30" spans="1:4" ht="16.5">
      <c r="A30" s="17" t="s">
        <v>7</v>
      </c>
      <c r="B30" s="5" t="s">
        <v>47</v>
      </c>
      <c r="C30" s="20"/>
      <c r="D30" s="20"/>
    </row>
    <row r="31" spans="1:4" ht="16.5">
      <c r="A31" s="17" t="s">
        <v>8</v>
      </c>
      <c r="B31" s="5" t="s">
        <v>38</v>
      </c>
      <c r="C31" s="18"/>
      <c r="D31" s="18"/>
    </row>
    <row r="32" spans="1:4" ht="16.5">
      <c r="A32" s="19"/>
      <c r="B32" s="6"/>
      <c r="C32" s="21"/>
      <c r="D32" s="21"/>
    </row>
    <row r="33" spans="1:4" ht="16.5">
      <c r="A33" s="17" t="s">
        <v>7</v>
      </c>
      <c r="B33" s="5" t="s">
        <v>5</v>
      </c>
      <c r="C33" s="20"/>
      <c r="D33" s="20"/>
    </row>
    <row r="34" spans="1:4" ht="16.5">
      <c r="A34" s="17" t="s">
        <v>8</v>
      </c>
      <c r="B34" s="5" t="s">
        <v>41</v>
      </c>
      <c r="C34" s="18"/>
      <c r="D34" s="18"/>
    </row>
    <row r="35" spans="1:4" ht="16.5">
      <c r="A35" s="19"/>
      <c r="B35" s="129"/>
      <c r="C35" s="129"/>
      <c r="D35" s="129"/>
    </row>
  </sheetData>
  <sheetProtection algorithmName="SHA-512" hashValue="7EdgDocbyTXmMLd1E+bF13lJksTZKs46dfpmE5XKlwUjCnSKKVuPgP3QmbcELIOhsRqIzf/fnlLGwyi2+rO8/Q==" saltValue="PBM0S/Jjz3zP8rWz6QnCzw==" spinCount="100000" sheet="1" objects="1" scenarios="1" selectLockedCells="1"/>
  <mergeCells count="8">
    <mergeCell ref="B35:D35"/>
    <mergeCell ref="A26:D26"/>
    <mergeCell ref="B1:D1"/>
    <mergeCell ref="A2:D2"/>
    <mergeCell ref="B3:D3"/>
    <mergeCell ref="B4:D4"/>
    <mergeCell ref="A6:A15"/>
    <mergeCell ref="A16:A25"/>
  </mergeCells>
  <phoneticPr fontId="1" type="noConversion"/>
  <dataValidations count="1">
    <dataValidation type="list" allowBlank="1" showInputMessage="1" showErrorMessage="1" sqref="B1">
      <formula1>QT</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60"/>
  <sheetViews>
    <sheetView workbookViewId="0">
      <selection activeCell="A7" sqref="A7"/>
    </sheetView>
  </sheetViews>
  <sheetFormatPr defaultRowHeight="13.5"/>
  <cols>
    <col min="1" max="1" width="50.75" customWidth="1"/>
    <col min="5" max="5" width="11.375" customWidth="1"/>
  </cols>
  <sheetData>
    <row r="1" spans="1:14">
      <c r="A1" s="84" t="s">
        <v>73</v>
      </c>
    </row>
    <row r="2" spans="1:14">
      <c r="A2" s="1" t="str">
        <f>data!F12</f>
        <v>spi lcd点屏异常</v>
      </c>
      <c r="F2" s="145" t="s">
        <v>82</v>
      </c>
      <c r="G2" s="146"/>
      <c r="H2" s="146"/>
      <c r="I2" s="147"/>
      <c r="K2" s="145" t="s">
        <v>83</v>
      </c>
      <c r="L2" s="146"/>
      <c r="M2" s="146"/>
      <c r="N2" s="147"/>
    </row>
    <row r="3" spans="1:14">
      <c r="A3" s="1" t="str">
        <f>data!F13</f>
        <v>新增LCD无法点亮</v>
      </c>
      <c r="F3" s="85" t="s">
        <v>75</v>
      </c>
      <c r="G3" s="85" t="s">
        <v>74</v>
      </c>
      <c r="H3" s="85" t="s">
        <v>78</v>
      </c>
      <c r="I3" s="85" t="s">
        <v>79</v>
      </c>
      <c r="K3" s="85" t="s">
        <v>88</v>
      </c>
      <c r="L3" s="85" t="s">
        <v>85</v>
      </c>
      <c r="M3" s="85"/>
      <c r="N3" s="85" t="s">
        <v>86</v>
      </c>
    </row>
    <row r="4" spans="1:14">
      <c r="A4" s="1" t="str">
        <f>data!F14</f>
        <v>LCD显示异常</v>
      </c>
      <c r="F4" s="1" t="s">
        <v>76</v>
      </c>
      <c r="G4" s="1" t="s">
        <v>77</v>
      </c>
      <c r="H4" s="1" t="s">
        <v>80</v>
      </c>
      <c r="I4" s="1" t="s">
        <v>81</v>
      </c>
      <c r="K4" s="1" t="s">
        <v>84</v>
      </c>
      <c r="L4" s="1">
        <v>123456</v>
      </c>
      <c r="M4" s="1"/>
      <c r="N4" s="1" t="s">
        <v>87</v>
      </c>
    </row>
    <row r="5" spans="1:14">
      <c r="A5" s="1" t="str">
        <f>data!F15</f>
        <v>新增LCD</v>
      </c>
    </row>
    <row r="6" spans="1:14">
      <c r="A6" s="1" t="str">
        <f>data!F16</f>
        <v>LCD无法点亮</v>
      </c>
    </row>
    <row r="7" spans="1:14">
      <c r="A7" s="1" t="str">
        <f>data!F17</f>
        <v>LCD开机阶段显示异常</v>
      </c>
    </row>
    <row r="8" spans="1:14">
      <c r="A8" s="1" t="str">
        <f>data!F18</f>
        <v>LCD开机后显示异常（闪屏、闪白屏、花屏）</v>
      </c>
      <c r="E8" s="86">
        <v>1</v>
      </c>
    </row>
    <row r="9" spans="1:14">
      <c r="A9" s="1" t="str">
        <f>data!F19</f>
        <v>A8</v>
      </c>
    </row>
    <row r="10" spans="1:14">
      <c r="A10" s="1" t="str">
        <f>data!F20</f>
        <v>A9</v>
      </c>
    </row>
    <row r="11" spans="1:14">
      <c r="A11" s="1" t="str">
        <f>data!F21</f>
        <v>A10</v>
      </c>
    </row>
    <row r="12" spans="1:14">
      <c r="A12" s="1" t="str">
        <f>data!F22</f>
        <v>A11</v>
      </c>
    </row>
    <row r="13" spans="1:14">
      <c r="A13" s="1" t="str">
        <f>data!F23</f>
        <v>A12</v>
      </c>
    </row>
    <row r="14" spans="1:14">
      <c r="A14" s="1" t="str">
        <f>data!F24</f>
        <v>A13</v>
      </c>
    </row>
    <row r="15" spans="1:14">
      <c r="A15" s="1" t="str">
        <f>data!F25</f>
        <v>A14</v>
      </c>
    </row>
    <row r="16" spans="1:14">
      <c r="A16" s="1" t="str">
        <f>data!F26</f>
        <v>A15</v>
      </c>
    </row>
    <row r="21" spans="5:5">
      <c r="E21" s="86">
        <v>2</v>
      </c>
    </row>
    <row r="31" spans="5:5">
      <c r="E31" s="86">
        <v>3</v>
      </c>
    </row>
    <row r="60" spans="5:5">
      <c r="E60" s="86">
        <v>4</v>
      </c>
    </row>
  </sheetData>
  <mergeCells count="2">
    <mergeCell ref="F2:I2"/>
    <mergeCell ref="K2:N2"/>
  </mergeCells>
  <phoneticPr fontId="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65"/>
  <sheetViews>
    <sheetView topLeftCell="A4" workbookViewId="0">
      <selection activeCell="E12" sqref="E12"/>
    </sheetView>
  </sheetViews>
  <sheetFormatPr defaultRowHeight="13.5"/>
  <cols>
    <col min="2" max="2" width="10.875" customWidth="1"/>
    <col min="6" max="6" width="43.75" customWidth="1"/>
    <col min="7" max="7" width="5.25" customWidth="1"/>
    <col min="8" max="8" width="15" customWidth="1"/>
    <col min="9" max="9" width="56" customWidth="1"/>
    <col min="10" max="10" width="5" customWidth="1"/>
    <col min="12" max="12" width="24.25" customWidth="1"/>
    <col min="13" max="13" width="21.25" customWidth="1"/>
    <col min="14" max="14" width="11.75" customWidth="1"/>
    <col min="16" max="16" width="10.875" customWidth="1"/>
  </cols>
  <sheetData>
    <row r="1" spans="1:16" ht="18">
      <c r="A1" s="155" t="s">
        <v>28</v>
      </c>
      <c r="B1" s="155"/>
      <c r="C1" s="155"/>
      <c r="D1" s="155"/>
      <c r="E1" s="155"/>
      <c r="F1" s="155"/>
      <c r="G1" s="148"/>
      <c r="H1" s="156" t="s">
        <v>26</v>
      </c>
      <c r="I1" s="156"/>
      <c r="J1" s="148"/>
      <c r="K1" s="154" t="s">
        <v>25</v>
      </c>
      <c r="L1" s="154"/>
      <c r="M1" s="154"/>
      <c r="N1" s="154"/>
      <c r="P1" s="13">
        <f>C11</f>
        <v>1</v>
      </c>
    </row>
    <row r="2" spans="1:16" ht="17.25">
      <c r="A2" s="2"/>
      <c r="B2" s="2"/>
      <c r="C2" s="2"/>
      <c r="D2" s="2"/>
      <c r="E2" s="2"/>
      <c r="F2" s="2"/>
      <c r="G2" s="148"/>
      <c r="H2" s="68" t="s">
        <v>7</v>
      </c>
      <c r="I2" s="69" t="str">
        <f>CHOOSE(P1,'A1'!B1,'A2'!B1,'A3'!B1,'A4'!B1,'A5'!B1,'A6'!B1,'A7'!B1,'A8'!B1,'A9'!B1,'A10'!B1,'A11'!B1,'A12'!B1,'A13'!B1,'A14'!B1,'A15'!B1)</f>
        <v>新增spi lcd如何配置</v>
      </c>
      <c r="J2" s="148"/>
      <c r="K2" s="75" t="s">
        <v>16</v>
      </c>
      <c r="L2" s="76" t="str">
        <f>CHOOSE(P1,'A1'!F1,'A2'!F1,'A3'!F1,'A4'!F1,'A5'!F1,'A6'!F1,'A7'!F1,'A8'!F1,'A9'!F1,'A10'!F1,'A11'!F1,'A12'!F1,'A13'!F1,'A14'!F1,'A15'!F1)</f>
        <v>SC9820E/SL8521E等支持spi lcd系列</v>
      </c>
      <c r="M2" s="149" t="str">
        <f>F11</f>
        <v>spi lcd点屏异常</v>
      </c>
      <c r="N2" s="150"/>
      <c r="P2">
        <f>C11</f>
        <v>1</v>
      </c>
    </row>
    <row r="3" spans="1:16" ht="17.25">
      <c r="A3" s="2"/>
      <c r="B3" s="2"/>
      <c r="C3" s="2"/>
      <c r="D3" s="2"/>
      <c r="E3" s="2"/>
      <c r="F3" s="2"/>
      <c r="G3" s="148"/>
      <c r="H3" s="70" t="s">
        <v>8</v>
      </c>
      <c r="I3" s="69" t="str">
        <f>CHOOSE(P2,'A1'!B2,'A2'!B2,'A3'!B2,'A4'!B2,'A5'!B2,'A6'!B2,'A7'!B2,'A8'!B2,'A9'!B2,'A10'!B2,'A11'!B2,'A12'!B2,'A13'!B2,'A14'!B2,'A15'!B2)</f>
        <v>请参考我司发布的对应平台的客户化配置文档等, 若没有请提cq</v>
      </c>
      <c r="J3" s="148"/>
      <c r="K3" s="77" t="s">
        <v>17</v>
      </c>
      <c r="L3" s="76" t="str">
        <f>CHOOSE(P2,'A1'!F2,'A2'!F2,'A3'!F2,'A4'!F2,'A5'!F2,'A6'!F2,'A7'!F2,'A8'!F2,'A9'!F2,'A10'!F2,'A11'!F2,'A12'!F2,'A13'!F2,'A14'!F2,'A15'!F2)</f>
        <v>MOCOR5/Android4.4等</v>
      </c>
      <c r="M3" s="151"/>
      <c r="N3" s="152"/>
      <c r="P3">
        <f>C11</f>
        <v>1</v>
      </c>
    </row>
    <row r="4" spans="1:16" ht="16.5">
      <c r="B4" s="2"/>
      <c r="C4" s="2"/>
      <c r="D4" s="2"/>
      <c r="E4" s="2"/>
      <c r="F4" s="2"/>
      <c r="G4" s="148"/>
      <c r="H4" s="71"/>
      <c r="I4" s="71"/>
      <c r="J4" s="148"/>
      <c r="K4" s="78" t="s">
        <v>18</v>
      </c>
      <c r="L4" s="79" t="s">
        <v>19</v>
      </c>
      <c r="M4" s="80" t="s">
        <v>20</v>
      </c>
      <c r="N4" s="80" t="s">
        <v>24</v>
      </c>
      <c r="P4">
        <f>C11</f>
        <v>1</v>
      </c>
    </row>
    <row r="5" spans="1:16" ht="409.5">
      <c r="B5" s="2"/>
      <c r="C5" s="2"/>
      <c r="D5" s="2"/>
      <c r="E5" s="2"/>
      <c r="F5" s="2"/>
      <c r="G5" s="148"/>
      <c r="H5" s="70" t="s">
        <v>7</v>
      </c>
      <c r="I5" s="69" t="str">
        <f>CHOOSE(P4,'A1'!B4,'A2'!B4,'A3'!B4,'A4'!B4,'A5'!B4,'A6'!B4,'A7'!B4,'A8'!B4,'A9'!B4,'A10'!B4,'A11'!B4,'A12'!B4,'A13'!B4,'A14'!B4,'A15'!B4)</f>
        <v>怎么配置4线8bit II型</v>
      </c>
      <c r="J5" s="148"/>
      <c r="K5" s="157" t="s">
        <v>21</v>
      </c>
      <c r="L5" s="76" t="str">
        <f>CHOOSE(P4,'A1'!F4,'A2'!F4,'A3'!F4,'A4'!F4,'A5'!F4,'A6'!F4,'A7'!F4,'A8'!F4,'A9'!F4,'A10'!F4,'A11'!F4,'A12'!F4,'A13'!F4,'A14'!F4,'A15'!F4)</f>
        <v>检查4线或3线lcd各pin脚连线是否正确</v>
      </c>
      <c r="M5" s="81" t="str">
        <f>CHOOSE(P4,'A1'!G4,'A2'!G4,'A3'!G4,'A4'!G4,'A5'!G4,'A6'!G4,'A7'!G4,'A8'!G4,'A9'!G4,'A10'!G4,'A11'!G4,'A12'!G4,'A13'!G4,'A14'!G4,'A15'!G4)</f>
        <v>cs 、clk、 data（sdi或sdo）必须要接在同一组spi通道上，不能如一个接在spi1另一个接在spi2，有cd（rs）脚的可以随便连到任何一个可用的gpio上。要与lcd ic核实使用的lcd ic要使用如下哪种spi模式，并检查对应的连线：
3线9bit I型 接口信号：SCL/CSX/SDA
3线9bit II型接口信号：SCL/CSX /SDO/SDI
4线8bit I型接口信号：SCL/CSX /DCX/SDA
4线8bit II型接口信号：SCL/CSX/DCX/SDO/SDI
3线9bit 2 data Lane 接口信号：SCL/CSX/D0/D1
I型的SDA要接在我平台端的spi_do脚上，能读能发。II型sdo发数据，sdi读id，若sdi没接，也只是不能读id了，强制返回id后不影响接下来的点屏。</v>
      </c>
      <c r="N5" s="82"/>
      <c r="P5">
        <f>C11</f>
        <v>1</v>
      </c>
    </row>
    <row r="6" spans="1:16" ht="51.75">
      <c r="B6" s="2"/>
      <c r="C6" s="2"/>
      <c r="D6" s="2"/>
      <c r="E6" s="2"/>
      <c r="F6" s="2"/>
      <c r="G6" s="148"/>
      <c r="H6" s="70" t="s">
        <v>8</v>
      </c>
      <c r="I6" s="69" t="str">
        <f>CHOOSE(P5,'A1'!B5,'A2'!B5,'A3'!B5,'A4'!B5,'A5'!B5,'A6'!B5,'A7'!B5,'A8'!B5,'A9'!B5,'A10'!B5,'A11'!B5,'A12'!B5,'A13'!B5,'A14'!B5,'A15'!B5)</f>
        <v>平台参考机是4线8bit I，4线8bit II型需要在如u-boot15/include/configs/sp9820e_2c10.h把宏
CONFIG_SPIMODE_4WIRE_8BIT_SDIO打开，另外根据硬件连线把pinmap中对应的sdi、sdo配置成spi模式。其他3线的配置请提cq</v>
      </c>
      <c r="J6" s="148"/>
      <c r="K6" s="158"/>
      <c r="L6" s="76" t="str">
        <f>CHOOSE(P5,'A1'!F5,'A2'!F5,'A3'!F5,'A4'!F5,'A5'!F5,'A6'!F5,'A7'!F5,'A8'!F5,'A9'!F5,'A10'!F5,'A11'!F5,'A12'!F5,'A13'!F5,'A14'!F5,'A15'!F5)</f>
        <v>lcd相关pin脚pinmap配置是否正确</v>
      </c>
      <c r="M6" s="81" t="str">
        <f>CHOOSE(P5,'A1'!G5,'A2'!G5,'A3'!G5,'A4'!G5,'A5'!G5,'A6'!G5,'A7'!G5,'A8'!G5,'A9'!G5,'A10'!G5,'A11'!G5,'A12'!G5,'A13'!G5,'A14'!G5,'A15'!G5)</f>
        <v>cs 、clk、 data（sdi或sdo）要配成spi模式，cd（rs）脚要配成gpio模式</v>
      </c>
      <c r="N6" s="82"/>
      <c r="P6">
        <f>C11</f>
        <v>1</v>
      </c>
    </row>
    <row r="7" spans="1:16" ht="34.5">
      <c r="B7" s="2"/>
      <c r="C7" s="2"/>
      <c r="D7" s="2"/>
      <c r="E7" s="2"/>
      <c r="F7" s="2"/>
      <c r="G7" s="148"/>
      <c r="H7" s="71"/>
      <c r="I7" s="71"/>
      <c r="J7" s="148"/>
      <c r="K7" s="158"/>
      <c r="L7" s="76" t="str">
        <f>CHOOSE(P6,'A1'!F6,'A2'!F6,'A3'!F6,'A4'!F6,'A5'!F6,'A6'!F6,'A7'!F6,'A8'!F6,'A9'!F6,'A10'!F6,'A11'!F6,'A12'!F6,'A13'!F6,'A14'!F6,'A15'!F6)</f>
        <v>读id、下init data以及发数据显示时clk是否满足lcd ic要求</v>
      </c>
      <c r="M7" s="81" t="str">
        <f>CHOOSE(P6,'A1'!G6,'A2'!G6,'A3'!G6,'A4'!G6,'A5'!G6,'A6'!G6,'A7'!G6,'A8'!G6,'A9'!G6,'A10'!G6,'A11'!G6,'A12'!G6,'A13'!G6,'A14'!G6,'A15'!G6)</f>
        <v>测量lcd 的spi clk具体是多少</v>
      </c>
      <c r="N7" s="82"/>
      <c r="P7">
        <f>C11</f>
        <v>1</v>
      </c>
    </row>
    <row r="8" spans="1:16" ht="17.25">
      <c r="B8" s="2"/>
      <c r="C8" s="2"/>
      <c r="D8" s="2"/>
      <c r="E8" s="2"/>
      <c r="F8" s="2"/>
      <c r="G8" s="148"/>
      <c r="H8" s="70" t="s">
        <v>7</v>
      </c>
      <c r="I8" s="69" t="str">
        <f>CHOOSE(P7,'A1'!B7,'A2'!B7,'A3'!B7,'A4'!B7,'A5'!B7,'A6'!B7,'A7'!B7,'A8'!B7,'A9'!B7,'A10'!B7,'A11'!B7,'A12'!B7,'A13'!B7,'A14'!B7,'A15'!B7)</f>
        <v>spi屏显示上下偏移，怎么调整显示窗口？</v>
      </c>
      <c r="J8" s="148"/>
      <c r="K8" s="158"/>
      <c r="L8" s="76">
        <f>CHOOSE(P7,'A1'!F7,'A2'!F7,'A3'!F7,'A4'!F7,'A5'!F7,'A6'!F7,'A7'!F7,'A8'!F7,'A9'!F7,'A10'!F7,'A11'!F7,'A12'!F7,'A13'!F7,'A14'!F7,'A15'!F7)</f>
        <v>0</v>
      </c>
      <c r="M8" s="81">
        <f>CHOOSE(P7,'A1'!G7,'A2'!G7,'A3'!G7,'A4'!G7,'A5'!G7,'A6'!G7,'A7'!G7,'A8'!G7,'A9'!G7,'A10'!G7,'A11'!G7,'A12'!G7,'A13'!G7,'A14'!G7,'A15'!G7)</f>
        <v>0</v>
      </c>
      <c r="N8" s="82"/>
      <c r="P8">
        <f>C11</f>
        <v>1</v>
      </c>
    </row>
    <row r="9" spans="1:16" ht="69">
      <c r="A9" s="153" t="s">
        <v>27</v>
      </c>
      <c r="B9" s="153"/>
      <c r="C9" s="153"/>
      <c r="D9" s="153"/>
      <c r="E9" s="153"/>
      <c r="F9" s="153"/>
      <c r="G9" s="148"/>
      <c r="H9" s="70" t="s">
        <v>68</v>
      </c>
      <c r="I9" s="69" t="str">
        <f>CHOOSE(P8,'A1'!B8,'A2'!B8,'A3'!B8,'A4'!B8,'A5'!B8,'A6'!B8,'A7'!B8,'A8'!B8,'A9'!B8,'A10'!B8,'A11'!B8,'A12'!B8,'A13'!B8,'A14'!B8,'A15'!B8)</f>
        <v>由于spi lcd ic和模组配置不一致导致的上下左右偏移问题均可通过配置2a 2b寄存器的值来调整。
举例如lcd显示往下偏移了40个像素，修改方法：
1、
lcd_gc9305_spi.c (u-boot15\drivers\video\sprdfb\lcd) 
static int32_t gc9305_set_window(struct panel_spec *self,
        uint16_t left, uint16_t top, uint16_t right, uint16_t bottom)
{
    GC9305_SpiWriteCmd(0x2B);
    GC9305_SpiWriteData((top&gt;&gt;8));// set left address
    GC9305_SpiWriteData((top&amp;0xff) + 0x28);          //这里+ 0x28
    GC9305_SpiWriteData((bottom&gt;&gt;8));// set bottom address
    GC9305_SpiWriteData((bottom&amp;0xff) + 0x28);       //这里+ 0x28
    GC9305_SpiWriteCmd(0x2C);
2、
sprd_spi_intf.c (kernel\drivers\video\adf\sprd\drv)
static unsigned char sprd_refresh_data[][4] = { { 0x00, 0x00, 0x00, 0xef },
                    { 0x00, 0x28, 0x01, 0x3f } };  //第1行1列[1][1]+ 0x28
static int sprd_spi_config(struct panel_info *panel)
{
...
    sprd_refresh_data[1][3] = (height - 1) &amp; 0xff + 0x28;    //这行值+ 0x28
...</v>
      </c>
      <c r="J9" s="148"/>
      <c r="K9" s="158"/>
      <c r="L9" s="76" t="str">
        <f>CHOOSE(P8,'A1'!F8,'A2'!F8,'A3'!F8,'A4'!F8,'A5'!F8,'A6'!F8,'A7'!F8,'A8'!F8,'A9'!F8,'A10'!F8,'A11'!F8,'A12'!F8,'A13'!F8,'A14'!F8,'A15'!F8)</f>
        <v>lcd模组的TE脚是否连接在平台端的F_MARK脚</v>
      </c>
      <c r="M9" s="81" t="str">
        <f>CHOOSE(P8,'A1'!G8,'A2'!G8,'A3'!G8,'A4'!G8,'A5'!G8,'A6'!G8,'A7'!G8,'A8'!G8,'A9'!G8,'A10'!G8,'A11'!G8,'A12'!G8,'A13'!G8,'A14'!G8,'A15'!G8)</f>
        <v>检查TE脚是否连接正常，pinmap中FMARK脚要配成gpio模式，否则可能会导致无法同步刷屏</v>
      </c>
      <c r="N9" s="82"/>
      <c r="P9">
        <f>C11</f>
        <v>1</v>
      </c>
    </row>
    <row r="10" spans="1:16" ht="51.75">
      <c r="A10" s="8"/>
      <c r="B10" s="10" t="s">
        <v>0</v>
      </c>
      <c r="C10" s="10" t="s">
        <v>1</v>
      </c>
      <c r="D10" s="10"/>
      <c r="E10" s="10"/>
      <c r="F10" s="10" t="s">
        <v>2</v>
      </c>
      <c r="G10" s="148"/>
      <c r="H10" s="71"/>
      <c r="I10" s="71"/>
      <c r="J10" s="148"/>
      <c r="K10" s="158"/>
      <c r="L10" s="76" t="str">
        <f>CHOOSE(P9,'A1'!F9,'A2'!F9,'A3'!F9,'A4'!F9,'A5'!F9,'A6'!F9,'A7'!F9,'A8'!F9,'A9'!F9,'A10'!F9,'A11'!F9,'A12'!F9,'A13'!F9,'A14'!F9,'A15'!F9)</f>
        <v>lcd模组TE信号是否正常发出</v>
      </c>
      <c r="M10" s="81" t="str">
        <f>CHOOSE(P9,'A1'!G9,'A2'!G9,'A3'!G9,'A4'!G9,'A5'!G9,'A6'!G9,'A7'!G9,'A8'!G9,'A9'!G9,'A10'!G9,'A11'!G9,'A12'!G9,'A13'!G9,'A14'!G9,'A15'!G9)</f>
        <v>测量模组TE信号是否正常，如果没有TE信号，屏显会卡住不刷新</v>
      </c>
      <c r="N10" s="82"/>
      <c r="P10">
        <f>C11</f>
        <v>1</v>
      </c>
    </row>
    <row r="11" spans="1:16" ht="34.5">
      <c r="A11" s="7">
        <v>0</v>
      </c>
      <c r="B11" s="7" t="s">
        <v>6</v>
      </c>
      <c r="C11" s="7">
        <f>MAX(C12:C31)</f>
        <v>1</v>
      </c>
      <c r="D11" s="7"/>
      <c r="E11" s="7"/>
      <c r="F11" s="7" t="str">
        <f>CHOOSE(C11,F12,F13,F14,F15,F16,F17,F18,F19,F20,F21,F22,F23,F24,F25,F26,F27,F28,F29,F30,F31)</f>
        <v>spi lcd点屏异常</v>
      </c>
      <c r="G11" s="148"/>
      <c r="H11" s="68" t="s">
        <v>7</v>
      </c>
      <c r="I11" s="69" t="str">
        <f>CHOOSE(P10,'A1'!B10,'A2'!B10,'A3'!B10,'A4'!B10,'A5'!B10,'A6'!B10,'A7'!B10,'A8'!B10,'A9'!B10,'A10'!B10,'A11'!B10,'A12'!B10,'A13'!B10,'A14'!B10,'A15'!B10)</f>
        <v>怎么降低下初始化参数init data时的速率？</v>
      </c>
      <c r="J11" s="148"/>
      <c r="K11" s="158"/>
      <c r="L11" s="76" t="str">
        <f>CHOOSE(P10,'A1'!F10,'A2'!F10,'A3'!F10,'A4'!F10,'A5'!F10,'A6'!F10,'A7'!F10,'A8'!F10,'A9'!F10,'A10'!F10,'A11'!F10,'A12'!F10,'A13'!F10,'A14'!F10,'A15'!F10)</f>
        <v>开机后画面若卡在logo不更新</v>
      </c>
      <c r="M11" s="81" t="str">
        <f>CHOOSE(P10,'A1'!G10,'A2'!G10,'A3'!G10,'A4'!G10,'A5'!G10,'A6'!G10,'A7'!G10,'A8'!G10,'A9'!G10,'A10'!G10,'A11'!G10,'A12'!G10,'A13'!G10,'A14'!G10,'A15'!G10)</f>
        <v>测量spi信号timing和信号完整性</v>
      </c>
      <c r="N11" s="82"/>
      <c r="P11">
        <f>C11</f>
        <v>1</v>
      </c>
    </row>
    <row r="12" spans="1:16" ht="17.25">
      <c r="A12" s="3">
        <v>1</v>
      </c>
      <c r="B12" s="9" t="s">
        <v>9</v>
      </c>
      <c r="C12" s="3">
        <f>IF(EXACT('lcd check'!B3,data!F12),1,0)</f>
        <v>1</v>
      </c>
      <c r="D12" s="3"/>
      <c r="E12" s="74"/>
      <c r="F12" s="3" t="str">
        <f>'A1'!G1</f>
        <v>spi lcd点屏异常</v>
      </c>
      <c r="G12" s="148"/>
      <c r="H12" s="70" t="s">
        <v>8</v>
      </c>
      <c r="I12" s="69" t="str">
        <f>CHOOSE(P11,'A1'!B11,'A2'!B11,'A3'!B11,'A4'!B11,'A5'!B11,'A6'!B11,'A7'!B11,'A8'!B11,'A9'!B11,'A10'!B11,'A11'!B11,'A12'!B11,'A13'!B11,'A14'!B11,'A15'!B11)</f>
        <v>某颗lcd ic 在uboot显示正常，灭屏唤醒后就显示异常了，是因为init data没有下成功，
之所以uboot能正常显示，是因为uboot下初始化参数使用的spi 速率是24M，而在kernel中spi速率是48M。
方法就是在kerne里下init data前把spi速率切成24M，下完init data再切回48M：
panel_ops_spi.c (kernel\drivers\video\adf\sprd\drv\panel-if)文件内下初始化前后切换时钟：
static int32_t spi_panel_init(struct panel_device *pd)
{
    struct sprd_spi *spi = dev_get_drvdata(pd-&gt;intf);
    struct panel_info *panel = pd-&gt;panel;
++    struct spi_device *spi_dev = spi-&gt;spi_dev;
++    spi_dev-&gt;max_speed_hz = 24000000;
++    spi_setup(spi_dev);
        spi_panel_send_cmds(spi, panel-&gt;cmd_codes[CMD_CODE_INIT]);
++    spi_dev-&gt;max_speed_hz = 48000000;
++    spi_setup(spi_dev);
    return 0;
}</v>
      </c>
      <c r="J12" s="148"/>
      <c r="K12" s="158"/>
      <c r="L12" s="76">
        <f>CHOOSE(P11,'A1'!F11,'A2'!F11,'A3'!F11,'A4'!F11,'A5'!F11,'A6'!F11,'A7'!F11,'A8'!F11,'A9'!F11,'A10'!F11,'A11'!F11,'A12'!F11,'A13'!F11,'A14'!F11,'A15'!F11)</f>
        <v>0</v>
      </c>
      <c r="M12" s="81">
        <f>CHOOSE(P11,'A1'!G11,'A2'!G11,'A3'!G11,'A4'!G11,'A5'!G11,'A6'!G11,'A7'!G11,'A8'!G11,'A9'!G11,'A10'!G11,'A11'!G11,'A12'!G11,'A13'!G11,'A14'!G11,'A15'!G11)</f>
        <v>0</v>
      </c>
      <c r="N12" s="82"/>
      <c r="P12">
        <f>C11</f>
        <v>1</v>
      </c>
    </row>
    <row r="13" spans="1:16" ht="17.25">
      <c r="A13" s="3">
        <v>2</v>
      </c>
      <c r="B13" s="9" t="s">
        <v>10</v>
      </c>
      <c r="C13" s="3">
        <f>IF(EXACT('lcd check'!B3,data!F13),2,0)</f>
        <v>0</v>
      </c>
      <c r="D13" s="3"/>
      <c r="E13" s="74"/>
      <c r="F13" s="3" t="str">
        <f>'A2'!G1</f>
        <v>新增LCD无法点亮</v>
      </c>
      <c r="G13" s="148"/>
      <c r="H13" s="71"/>
      <c r="I13" s="71"/>
      <c r="J13" s="148"/>
      <c r="K13" s="158"/>
      <c r="L13" s="76">
        <f>CHOOSE(P12,'A1'!F12,'A2'!F12,'A3'!F12,'A4'!F12,'A5'!F12,'A6'!F12,'A7'!F12,'A8'!F12,'A9'!F12,'A10'!F12,'A11'!F12,'A12'!F12,'A13'!F12,'A14'!F12,'A15'!F12)</f>
        <v>0</v>
      </c>
      <c r="M13" s="81">
        <f>CHOOSE(P12,'A1'!G12,'A2'!G12,'A3'!G12,'A4'!G12,'A5'!G12,'A6'!G12,'A7'!G12,'A8'!G12,'A9'!G12,'A10'!G12,'A11'!G12,'A12'!G12,'A13'!G12,'A14'!G12,'A15'!G12)</f>
        <v>0</v>
      </c>
      <c r="N13" s="82"/>
      <c r="P13">
        <f>C11</f>
        <v>1</v>
      </c>
    </row>
    <row r="14" spans="1:16" ht="17.25">
      <c r="A14" s="3">
        <v>3</v>
      </c>
      <c r="B14" s="9" t="s">
        <v>11</v>
      </c>
      <c r="C14" s="3">
        <f>IF(EXACT('lcd check'!B3,data!F14),3,0)</f>
        <v>0</v>
      </c>
      <c r="D14" s="3"/>
      <c r="E14" s="74"/>
      <c r="F14" s="3" t="str">
        <f>'A3'!G1</f>
        <v>LCD显示异常</v>
      </c>
      <c r="G14" s="148"/>
      <c r="H14" s="70" t="s">
        <v>7</v>
      </c>
      <c r="I14" s="69" t="str">
        <f>CHOOSE(P13,'A1'!B13,'A2'!B13,'A3'!B13,'A4'!B13,'A5'!B13,'A6'!B13,'A7'!B13,'A8'!B13,'A9'!B13,'A10'!B13,'A11'!B13,'A12'!B13,'A13'!B13,'A14'!B13,'A15'!B13)</f>
        <v>spi lcd读不到id，如果要求写完命令cs保持使能的修改</v>
      </c>
      <c r="J14" s="148"/>
      <c r="K14" s="159"/>
      <c r="L14" s="76">
        <f>CHOOSE(P13,'A1'!F13,'A2'!F13,'A3'!F13,'A4'!F13,'A5'!F13,'A6'!F13,'A7'!F13,'A8'!F13,'A9'!F13,'A10'!F13,'A11'!F13,'A12'!F13,'A13'!F13,'A14'!F13,'A15'!F13)</f>
        <v>0</v>
      </c>
      <c r="M14" s="81">
        <f>CHOOSE(P13,'A1'!G13,'A2'!G13,'A3'!G13,'A4'!G13,'A5'!G13,'A6'!G13,'A7'!G13,'A8'!G13,'A9'!G13,'A10'!G13,'A11'!G13,'A12'!G13,'A13'!G13,'A14'!G13,'A15'!G13)</f>
        <v>0</v>
      </c>
      <c r="N14" s="82"/>
      <c r="P14">
        <f>C11</f>
        <v>1</v>
      </c>
    </row>
    <row r="15" spans="1:16" ht="409.5">
      <c r="A15" s="3">
        <v>4</v>
      </c>
      <c r="B15" s="9" t="s">
        <v>12</v>
      </c>
      <c r="C15" s="3">
        <f>IF(EXACT('lcd check'!B3,data!F15),4,0)</f>
        <v>0</v>
      </c>
      <c r="D15" s="3"/>
      <c r="E15" s="74"/>
      <c r="F15" s="3" t="str">
        <f>'A4'!G1</f>
        <v>新增LCD</v>
      </c>
      <c r="G15" s="148"/>
      <c r="H15" s="70" t="s">
        <v>8</v>
      </c>
      <c r="I15" s="69" t="str">
        <f>CHOOSE(P14,'A1'!B14,'A2'!B14,'A3'!B14,'A4'!B14,'A5'!B14,'A6'!B14,'A7'!B14,'A8'!B14,'A9'!B14,'A10'!B14,'A11'!B14,'A12'!B14,'A13'!B14,'A14'!B14,'A15'!B14)</f>
        <v>此问题只针对spi已经通的情况下或者屏已经点亮了，但是lcd id读到的全是0, lcd ic 若要求写cmd后cs不能拉低，要保持使能:
sprdfb_spi.c (u-boot15\drivers\video\sprdfb)
static void DISPC_SpiWriteCmd(uint32_t cmd)
{
    sprd_spi_set_data_width(8);
    sprd_spi_set_cs(0, TRUE);
    sprd_gpio_set(NULL, LCM_GPIO_CDPIN,0);
    // Write a data identical with buswidth
    sprd_spi_write_data( &amp;cmd, 1, 0);
-    sprd_spi_set_cs(0, FALSE);  //去掉这一行，保持发完命令后cs一直使能
}</v>
      </c>
      <c r="J15" s="148"/>
      <c r="K15" s="157" t="s">
        <v>22</v>
      </c>
      <c r="L15" s="76" t="str">
        <f>CHOOSE(P14,'A1'!F14,'A2'!F14,'A3'!F14,'A4'!F14,'A5'!F14,'A6'!F14,'A7'!F14,'A8'!F14,'A9'!F14,'A10'!F14,'A11'!F14,'A12'!F14,'A13'!F14,'A14'!F14,'A15'!F14)</f>
        <v>画面不更新</v>
      </c>
      <c r="M15" s="81" t="str">
        <f>CHOOSE(P14,'A1'!G14,'A2'!G14,'A3'!G14,'A4'!G14,'A5'!G14,'A6'!G14,'A7'!G14,'A8'!G14,'A9'!G14,'A10'!G14,'A11'!G14,'A12'!G14,'A13'!G14,'A14'!G14,'A15'!G14)</f>
        <v>1、log中如果出现"dpu wait for reg update done time out!"则表示没有等到TE中断，那么要联合lcd厂排查为什么lcd模组没有产生TE信号。若确实没法产生TE信号，就得修改kernel/drivers/video/adf/sprd/drv/dispc/swdispc.c文件swdispc_wait_te函数内的等待队列的时间，如把500ms改成1ms，或者直接注空返回。
2、卡在logo不更新，若log没有发现异常，那么可能是spi信号完整性信号质量不好，需要尝试修改lcd驱动文件内的spi速率如kernel/arch/arm/boot/dts/lcd/lcd_gc9305_spi_qvga.dtsi，把默认的spi_freq 48M改成24M，再观察能不能刷新</v>
      </c>
      <c r="N15" s="14"/>
      <c r="P15">
        <f>C11</f>
        <v>1</v>
      </c>
    </row>
    <row r="16" spans="1:16" ht="172.5">
      <c r="A16" s="3">
        <v>5</v>
      </c>
      <c r="B16" s="9" t="s">
        <v>13</v>
      </c>
      <c r="C16" s="3">
        <f>IF(EXACT('lcd check'!B3,data!F16),5,0)</f>
        <v>0</v>
      </c>
      <c r="D16" s="3"/>
      <c r="E16" s="74"/>
      <c r="F16" s="71" t="str">
        <f>'A5'!G1</f>
        <v>LCD无法点亮</v>
      </c>
      <c r="G16" s="148"/>
      <c r="H16" s="71"/>
      <c r="I16" s="71"/>
      <c r="J16" s="148"/>
      <c r="K16" s="158"/>
      <c r="L16" s="76" t="str">
        <f>CHOOSE(P15,'A1'!F15,'A2'!F15,'A3'!F15,'A4'!F15,'A5'!F15,'A6'!F15,'A7'!F15,'A8'!F15,'A9'!F15,'A10'!F15,'A11'!F15,'A12'!F15,'A13'!F15,'A14'!F15,'A15'!F15)</f>
        <v>其他问题</v>
      </c>
      <c r="M16" s="81" t="str">
        <f>CHOOSE(P15,'A1'!G15,'A2'!G15,'A3'!G15,'A4'!G15,'A5'!G15,'A6'!G15,'A7'!G15,'A8'!G15,'A9'!G15,'A10'!G15,'A11'!G15,'A12'!G15,'A13'!G15,'A14'!G15,'A15'!G15)</f>
        <v>请提交cq,需要提供
1.lcd驱动配置（uboot+kernel都要提供）和硬件原理图sch
2.提供开机uart log(uboot+kernel（log_level=7）)
3.提供slog
4.check list检查结果及报告</v>
      </c>
      <c r="N16" s="14"/>
      <c r="P16">
        <f>C11</f>
        <v>1</v>
      </c>
    </row>
    <row r="17" spans="1:16" ht="17.25">
      <c r="A17" s="3">
        <v>6</v>
      </c>
      <c r="B17" s="3" t="s">
        <v>32</v>
      </c>
      <c r="C17" s="3">
        <f>IF(EXACT('lcd check'!B3,data!F17),6,0)</f>
        <v>0</v>
      </c>
      <c r="D17" s="3"/>
      <c r="E17" s="74"/>
      <c r="F17" s="71" t="str">
        <f>'A6'!G1</f>
        <v>LCD开机阶段显示异常</v>
      </c>
      <c r="G17" s="148"/>
      <c r="H17" s="70" t="s">
        <v>7</v>
      </c>
      <c r="I17" s="69" t="str">
        <f>CHOOSE(P16,'A1'!B16,'A2'!B16,'A3'!B16,'A4'!B16,'A5'!B16,'A6'!B16,'A7'!B16,'A8'!B16,'A9'!B16,'A10'!B16,'A11'!B16,'A12'!B16,'A13'!B16,'A14'!B16,'A15'!B16)</f>
        <v>切屏问题</v>
      </c>
      <c r="J17" s="148"/>
      <c r="K17" s="158"/>
      <c r="L17" s="76">
        <f>CHOOSE(P16,'A1'!F16,'A2'!F16,'A3'!F16,'A4'!F16,'A5'!F16,'A6'!F16,'A7'!F16,'A8'!F16,'A9'!F16,'A10'!F16,'A11'!F16,'A12'!F16,'A13'!F16,'A14'!F16,'A15'!F16)</f>
        <v>0</v>
      </c>
      <c r="M17" s="81">
        <f>CHOOSE(P16,'A1'!G16,'A2'!G16,'A3'!G16,'A4'!G16,'A5'!G16,'A6'!G16,'A7'!G16,'A8'!G16,'A9'!G16,'A10'!G16,'A11'!G16,'A12'!G16,'A13'!G16,'A14'!G16,'A15'!G16)</f>
        <v>0</v>
      </c>
      <c r="N17" s="14"/>
      <c r="P17">
        <f>C11</f>
        <v>1</v>
      </c>
    </row>
    <row r="18" spans="1:16" ht="17.25">
      <c r="A18" s="3">
        <v>7</v>
      </c>
      <c r="B18" s="3" t="s">
        <v>33</v>
      </c>
      <c r="C18" s="3">
        <f>IF(EXACT('lcd check'!B3,data!F18),7,0)</f>
        <v>0</v>
      </c>
      <c r="D18" s="3"/>
      <c r="E18" s="74"/>
      <c r="F18" s="71" t="str">
        <f>'A7'!G1</f>
        <v>LCD开机后显示异常（闪屏、闪白屏、花屏）</v>
      </c>
      <c r="G18" s="148"/>
      <c r="H18" s="70" t="s">
        <v>14</v>
      </c>
      <c r="I18" s="69" t="str">
        <f>CHOOSE(P17,'A1'!B17,'A2'!B17,'A3'!B17,'A4'!B17,'A5'!B17,'A6'!B17,'A7'!B17,'A8'!B17,'A9'!B17,'A10'!B17,'A11'!B17,'A12'!B17,'A13'!B17,'A14'!B17,'A15'!B17)</f>
        <v>平台端lcd spi clk 48M、分辨率240×320，一般默认帧率为30帧左右。如果切屏了，请排查：
1、loglevel是否是默认的1或者改成0，提高系统性能
2、保证TE自刷新速率小于平台刷新率的2倍，lcd自刷新速率调整请联系lcd 厂商
3、如果lcd模组不能产生TE信号，那么平台端无法解决切屏</v>
      </c>
      <c r="J18" s="148"/>
      <c r="K18" s="158"/>
      <c r="L18" s="76">
        <f>CHOOSE(P17,'A1'!F17,'A2'!F17,'A3'!F17,'A4'!F17,'A5'!F17,'A6'!F17,'A7'!F17,'A8'!F17,'A9'!F17,'A10'!F17,'A11'!F17,'A12'!F17,'A13'!F17,'A14'!F17,'A15'!F17)</f>
        <v>0</v>
      </c>
      <c r="M18" s="81">
        <f>CHOOSE(P17,'A1'!G17,'A2'!G17,'A3'!G17,'A4'!G17,'A5'!G17,'A6'!G17,'A7'!G17,'A8'!G17,'A9'!G17,'A10'!G17,'A11'!G17,'A12'!G17,'A13'!G17,'A14'!G17,'A15'!G17)</f>
        <v>0</v>
      </c>
      <c r="N18" s="14"/>
      <c r="P18">
        <f>C11</f>
        <v>1</v>
      </c>
    </row>
    <row r="19" spans="1:16" ht="17.25">
      <c r="A19" s="71">
        <v>8</v>
      </c>
      <c r="B19" s="71" t="s">
        <v>34</v>
      </c>
      <c r="C19" s="71">
        <f>IF(EXACT('lcd check'!B3,data!F19),8,0)</f>
        <v>0</v>
      </c>
      <c r="D19" s="3"/>
      <c r="E19" s="74"/>
      <c r="F19" s="71" t="str">
        <f>'A8'!G1</f>
        <v>A8</v>
      </c>
      <c r="G19" s="148"/>
      <c r="H19" s="71"/>
      <c r="I19" s="71"/>
      <c r="J19" s="148"/>
      <c r="K19" s="158"/>
      <c r="L19" s="76">
        <f>CHOOSE(P18,'A1'!F18,'A2'!F18,'A3'!F18,'A4'!F18,'A5'!F18,'A6'!F18,'A7'!F18,'A8'!F18,'A9'!F18,'A10'!F18,'A11'!F18,'A12'!F18,'A13'!F18,'A14'!F18,'A15'!F18)</f>
        <v>0</v>
      </c>
      <c r="M19" s="81">
        <f>CHOOSE(P18,'A1'!G18,'A2'!G18,'A3'!G18,'A4'!G18,'A5'!G18,'A6'!G18,'A7'!G18,'A8'!G18,'A9'!G18,'A10'!G18,'A11'!G18,'A12'!G18,'A13'!G18,'A14'!G18,'A15'!G18)</f>
        <v>0</v>
      </c>
      <c r="N19" s="14"/>
      <c r="P19">
        <f>C11</f>
        <v>1</v>
      </c>
    </row>
    <row r="20" spans="1:16" ht="17.25">
      <c r="A20" s="71">
        <v>9</v>
      </c>
      <c r="B20" s="71" t="s">
        <v>35</v>
      </c>
      <c r="C20" s="71">
        <f>IF(EXACT('lcd check'!B3,data!F20),9,0)</f>
        <v>0</v>
      </c>
      <c r="D20" s="74"/>
      <c r="E20" s="74"/>
      <c r="F20" s="71" t="str">
        <f>'A9'!G1</f>
        <v>A9</v>
      </c>
      <c r="G20" s="148"/>
      <c r="H20" s="68" t="s">
        <v>7</v>
      </c>
      <c r="I20" s="69" t="str">
        <f>CHOOSE(P19,'A1'!B19,'A2'!B19,'A3'!B19,'A4'!B19,'A5'!B19,'A6'!B19,'A7'!B19,'A8'!B19,'A9'!B19,'A10'!B19,'A11'!B19,'A12'!B19,'A13'!B19,'A14'!B19,'A15'!B19)</f>
        <v>背光闪的问题</v>
      </c>
      <c r="J20" s="148"/>
      <c r="K20" s="158"/>
      <c r="L20" s="76">
        <f>CHOOSE(P19,'A1'!F19,'A2'!F19,'A3'!F19,'A4'!F19,'A5'!F19,'A6'!F19,'A7'!F19,'A8'!F19,'A9'!F19,'A10'!F19,'A11'!F19,'A12'!F19,'A13'!F19,'A14'!F19,'A15'!F19)</f>
        <v>0</v>
      </c>
      <c r="M20" s="81">
        <f>CHOOSE(P19,'A1'!G19,'A2'!G19,'A3'!G19,'A4'!G19,'A5'!G19,'A6'!G19,'A7'!G19,'A8'!G19,'A9'!G19,'A10'!G19,'A11'!G19,'A12'!G19,'A13'!G19,'A14'!G19,'A15'!G19)</f>
        <v>0</v>
      </c>
      <c r="N20" s="14"/>
      <c r="P20">
        <f>C11</f>
        <v>1</v>
      </c>
    </row>
    <row r="21" spans="1:16" ht="17.25">
      <c r="A21" s="71">
        <v>10</v>
      </c>
      <c r="B21" s="71" t="s">
        <v>36</v>
      </c>
      <c r="C21" s="71">
        <f>IF(EXACT('lcd check'!B3,data!F21),10,0)</f>
        <v>0</v>
      </c>
      <c r="D21" s="74"/>
      <c r="E21" s="74"/>
      <c r="F21" s="71" t="str">
        <f>'A10'!G1</f>
        <v>A10</v>
      </c>
      <c r="G21" s="148"/>
      <c r="H21" s="70" t="s">
        <v>8</v>
      </c>
      <c r="I21" s="69" t="str">
        <f>CHOOSE(P20,'A1'!B20,'A2'!B20,'A3'!B20,'A4'!B20,'A5'!B20,'A6'!B20,'A7'!B20,'A8'!B20,'A9'!B20,'A10'!B20,'A11'!B20,'A12'!B20,'A13'!B20,'A14'!B20,'A15'!B20)</f>
        <v>spi lcd基本没有出现过屏闪，大都是背光闪，方法是提高背光pwm频率,可参考FAQ117208</v>
      </c>
      <c r="J21" s="148"/>
      <c r="K21" s="158"/>
      <c r="L21" s="76">
        <f>CHOOSE(P20,'A1'!F20,'A2'!F20,'A3'!F20,'A4'!F20,'A5'!F20,'A6'!F20,'A7'!F20,'A8'!F20,'A9'!F20,'A10'!F20,'A11'!F20,'A12'!F20,'A13'!F20,'A14'!F20,'A15'!F20)</f>
        <v>0</v>
      </c>
      <c r="M21" s="81">
        <f>CHOOSE(P20,'A1'!G20,'A2'!G20,'A3'!G20,'A4'!G20,'A5'!G20,'A6'!G20,'A7'!G20,'A8'!G20,'A9'!G20,'A10'!G20,'A11'!G20,'A12'!G20,'A13'!G20,'A14'!G20,'A15'!G20)</f>
        <v>0</v>
      </c>
      <c r="N21" s="83"/>
      <c r="P21">
        <f>C11</f>
        <v>1</v>
      </c>
    </row>
    <row r="22" spans="1:16" ht="17.25">
      <c r="A22" s="71">
        <v>11</v>
      </c>
      <c r="B22" s="71" t="s">
        <v>58</v>
      </c>
      <c r="C22" s="71">
        <f>IF(EXACT('lcd check'!B3,data!F22),11,0)</f>
        <v>0</v>
      </c>
      <c r="D22" s="74"/>
      <c r="E22" s="74"/>
      <c r="F22" s="71" t="str">
        <f>'A11'!G1</f>
        <v>A11</v>
      </c>
      <c r="G22" s="148"/>
      <c r="H22" s="71"/>
      <c r="I22" s="71"/>
      <c r="J22" s="148"/>
      <c r="K22" s="158"/>
      <c r="L22" s="76">
        <f>CHOOSE(P21,'A1'!F21,'A2'!F21,'A3'!F21,'A4'!F21,'A5'!F21,'A6'!F21,'A7'!F21,'A8'!F21,'A9'!F21,'A10'!F21,'A11'!F21,'A12'!F21,'A13'!F21,'A14'!F21,'A15'!F21)</f>
        <v>0</v>
      </c>
      <c r="M22" s="81">
        <f>CHOOSE(P21,'A1'!G21,'A2'!G21,'A3'!G21,'A4'!G21,'A5'!G21,'A6'!G21,'A7'!G21,'A8'!G21,'A9'!G21,'A10'!G21,'A11'!G21,'A12'!G21,'A13'!G21,'A14'!G21,'A15'!G21)</f>
        <v>0</v>
      </c>
      <c r="N22" s="83"/>
      <c r="P22">
        <f>C11</f>
        <v>1</v>
      </c>
    </row>
    <row r="23" spans="1:16" ht="17.25">
      <c r="A23" s="71">
        <v>12</v>
      </c>
      <c r="B23" s="71" t="s">
        <v>59</v>
      </c>
      <c r="C23" s="71">
        <f>IF(EXACT('lcd check'!B3,data!F23),12,0)</f>
        <v>0</v>
      </c>
      <c r="D23" s="74"/>
      <c r="E23" s="74"/>
      <c r="F23" s="71" t="str">
        <f>'A12'!G1</f>
        <v>A12</v>
      </c>
      <c r="G23" s="148"/>
      <c r="H23" s="70" t="s">
        <v>7</v>
      </c>
      <c r="I23" s="69" t="str">
        <f>CHOOSE(P22,'A1'!B22,'A2'!B22,'A3'!B22,'A4'!B22,'A5'!B22,'A6'!B22,'A7'!B22,'A8'!B22,'A9'!B22,'A10'!B22,'A11'!B22,'A12'!B22,'A13'!B22,'A14'!B22,'A15'!B22)</f>
        <v>噪点问题</v>
      </c>
      <c r="J23" s="148"/>
      <c r="K23" s="158"/>
      <c r="L23" s="76">
        <f>CHOOSE(P22,'A1'!F22,'A2'!F22,'A3'!F22,'A4'!F22,'A5'!F22,'A6'!F22,'A7'!F22,'A8'!F22,'A9'!F22,'A10'!F22,'A11'!F22,'A12'!F22,'A13'!F22,'A14'!F22,'A15'!F22)</f>
        <v>0</v>
      </c>
      <c r="M23" s="81">
        <f>CHOOSE(P22,'A1'!G22,'A2'!G22,'A3'!G22,'A4'!G22,'A5'!G22,'A6'!G22,'A7'!G22,'A8'!G22,'A9'!G22,'A10'!G22,'A11'!G22,'A12'!G22,'A13'!G22,'A14'!G22,'A15'!G22)</f>
        <v>0</v>
      </c>
      <c r="N23" s="83"/>
      <c r="P23">
        <f>C11</f>
        <v>1</v>
      </c>
    </row>
    <row r="24" spans="1:16" ht="17.25">
      <c r="A24" s="71">
        <v>13</v>
      </c>
      <c r="B24" s="71" t="s">
        <v>60</v>
      </c>
      <c r="C24" s="71">
        <f>IF(EXACT('lcd check'!B3,data!F24),13,0)</f>
        <v>0</v>
      </c>
      <c r="D24" s="74"/>
      <c r="E24" s="74"/>
      <c r="F24" s="71" t="str">
        <f>'A13'!G1</f>
        <v>A13</v>
      </c>
      <c r="G24" s="148"/>
      <c r="H24" s="70" t="s">
        <v>8</v>
      </c>
      <c r="I24" s="69" t="str">
        <f>CHOOSE(P23,'A1'!B23,'A2'!B23,'A3'!B23,'A4'!B23,'A5'!B23,'A6'!B23,'A7'!B23,'A8'!B23,'A9'!B23,'A10'!B23,'A11'!B23,'A12'!B23,'A13'!B23,'A14'!B23,'A15'!B23)</f>
        <v xml:space="preserve">kernel默认spi时钟48M如果就有噪点要找屏厂看看该ic是否支持48M，一般是降低spi clk能解决，位置如
kernel/arch/arm/boot/dts/lcd/lcd_gc9305_spi_qvga.dtsi文件中的spi_freq
</v>
      </c>
      <c r="J24" s="148"/>
      <c r="K24" s="159"/>
      <c r="L24" s="76">
        <f>CHOOSE(P23,'A1'!F23,'A2'!F23,'A3'!F23,'A4'!F23,'A5'!F23,'A6'!F23,'A7'!F23,'A8'!F23,'A9'!F23,'A10'!F23,'A11'!F23,'A12'!F23,'A13'!F23,'A14'!F23,'A15'!F23)</f>
        <v>0</v>
      </c>
      <c r="M24" s="81">
        <f>CHOOSE(P23,'A1'!G23,'A2'!G23,'A3'!G23,'A4'!G23,'A5'!G23,'A6'!G23,'A7'!G23,'A8'!G23,'A9'!G23,'A10'!G23,'A11'!G23,'A12'!G23,'A13'!G23,'A14'!G23,'A15'!G23)</f>
        <v>0</v>
      </c>
      <c r="N24" s="83"/>
      <c r="P24">
        <f>C11</f>
        <v>1</v>
      </c>
    </row>
    <row r="25" spans="1:16" ht="16.5">
      <c r="A25" s="71">
        <v>14</v>
      </c>
      <c r="B25" s="71" t="s">
        <v>61</v>
      </c>
      <c r="C25" s="71">
        <f>IF(EXACT('lcd check'!B3,data!F25),14,0)</f>
        <v>0</v>
      </c>
      <c r="D25" s="74"/>
      <c r="E25" s="74"/>
      <c r="F25" s="71" t="str">
        <f>'A14'!G1</f>
        <v>A14</v>
      </c>
      <c r="G25" s="148"/>
      <c r="H25" s="71"/>
      <c r="I25" s="71"/>
      <c r="J25" s="148"/>
      <c r="P25">
        <f>C11</f>
        <v>1</v>
      </c>
    </row>
    <row r="26" spans="1:16" ht="16.5">
      <c r="A26" s="71">
        <v>15</v>
      </c>
      <c r="B26" s="71" t="s">
        <v>62</v>
      </c>
      <c r="C26" s="71">
        <f>IF(EXACT('lcd check'!B3,data!F26),15,0)</f>
        <v>0</v>
      </c>
      <c r="D26" s="74"/>
      <c r="E26" s="74"/>
      <c r="F26" s="71" t="str">
        <f>'A15'!G1</f>
        <v>A15</v>
      </c>
      <c r="G26" s="148"/>
      <c r="H26" s="70" t="s">
        <v>7</v>
      </c>
      <c r="I26" s="69" t="str">
        <f>CHOOSE(P25,'A1'!B25,'A2'!B25,'A3'!B25,'A4'!B25,'A5'!B25,'A6'!B25,'A7'!B25,'A8'!B25,'A9'!B25,'A10'!B25,'A11'!B25,'A12'!B25,'A13'!B25,'A14'!B25,'A15'!B25)</f>
        <v>spi速率和spi lcd的帧率介绍</v>
      </c>
      <c r="J26" s="148"/>
      <c r="P26">
        <f>C11</f>
        <v>1</v>
      </c>
    </row>
    <row r="27" spans="1:16" ht="16.5">
      <c r="A27" s="71">
        <v>16</v>
      </c>
      <c r="B27" s="71" t="s">
        <v>63</v>
      </c>
      <c r="C27" s="71">
        <f>IF(EXACT('lcd check'!B3,data!F27),16,0)</f>
        <v>0</v>
      </c>
      <c r="D27" s="74"/>
      <c r="E27" s="74"/>
      <c r="F27" s="71"/>
      <c r="G27" s="148"/>
      <c r="H27" s="70" t="s">
        <v>14</v>
      </c>
      <c r="I27" s="69" t="str">
        <f>CHOOSE(P26,'A1'!B26,'A2'!B26,'A3'!B26,'A4'!B26,'A5'!B26,'A6'!B26,'A7'!B26,'A8'!B26,'A9'!B26,'A10'!B26,'A11'!B26,'A12'!B26,'A13'!B26,'A14'!B26,'A15'!B26)</f>
        <v>sc9820e、sl8521e、sl8541e、sc9832e的spi1是48M,spi0和spi2是24M.
理论帧率计算:fps=SPI_CLK*K/(W*H*T)*η
如用的spi1则SPI_CLK是48M；K是数据线数，仅3线9bit 2 data Lane型是2，其他的都是1；W是分辨率像素宽，H分辨率像素高，T是一个像素的bit数，如rgb565，则T是16；η是数据传输的效率值，通常是0.8.
那么我们参考设计4线8bit I型，spi1 240×320的rgb565 lcd的帧率是48M×1÷(240×320×16)×0.8约31帧。</v>
      </c>
      <c r="J27" s="148"/>
      <c r="P27">
        <f>C11</f>
        <v>1</v>
      </c>
    </row>
    <row r="28" spans="1:16" ht="16.5">
      <c r="A28" s="71">
        <v>17</v>
      </c>
      <c r="B28" s="71" t="s">
        <v>64</v>
      </c>
      <c r="C28" s="71">
        <f>IF(EXACT('lcd check'!B3,data!F28),17,0)</f>
        <v>0</v>
      </c>
      <c r="D28" s="74"/>
      <c r="E28" s="74"/>
      <c r="F28" s="71"/>
      <c r="G28" s="148"/>
      <c r="H28" s="71"/>
      <c r="I28" s="71"/>
      <c r="J28" s="148"/>
      <c r="P28">
        <f>C11</f>
        <v>1</v>
      </c>
    </row>
    <row r="29" spans="1:16" ht="16.5">
      <c r="A29" s="71">
        <v>18</v>
      </c>
      <c r="B29" s="71" t="s">
        <v>65</v>
      </c>
      <c r="C29" s="71">
        <f>IF(EXACT('lcd check'!B3,data!F29),18,0)</f>
        <v>0</v>
      </c>
      <c r="D29" s="74"/>
      <c r="E29" s="74"/>
      <c r="F29" s="71"/>
      <c r="G29" s="148"/>
      <c r="H29" s="68" t="s">
        <v>7</v>
      </c>
      <c r="I29" s="69">
        <f>CHOOSE(P28,'A1'!B28,'A2'!B28,'A3'!B28,'A4'!B28,'A5'!B28,'A6'!B28,'A7'!B28,'A8'!B28,'A9'!B28,'A10'!B28,'A11'!B28,'A12'!B28,'A13'!B28,'A14'!B28,'A15'!B28)</f>
        <v>0</v>
      </c>
      <c r="J29" s="148"/>
      <c r="P29">
        <f>C11</f>
        <v>1</v>
      </c>
    </row>
    <row r="30" spans="1:16" ht="16.5">
      <c r="A30" s="71">
        <v>19</v>
      </c>
      <c r="B30" s="71" t="s">
        <v>66</v>
      </c>
      <c r="C30" s="71">
        <f>IF(EXACT('lcd check'!B3,data!F30),19,0)</f>
        <v>0</v>
      </c>
      <c r="D30" s="74"/>
      <c r="E30" s="74"/>
      <c r="F30" s="71"/>
      <c r="G30" s="148"/>
      <c r="H30" s="70" t="s">
        <v>8</v>
      </c>
      <c r="I30" s="69">
        <f>CHOOSE(P29,'A1'!B29,'A2'!B29,'A3'!B29,'A4'!B29,'A5'!B29,'A6'!B29,'A7'!B29,'A8'!B29,'A9'!B29,'A10'!B29,'A11'!B29,'A12'!B29,'A13'!B29,'A14'!B29,'A15'!B29)</f>
        <v>0</v>
      </c>
      <c r="J30" s="148"/>
      <c r="P30">
        <f>C11</f>
        <v>1</v>
      </c>
    </row>
    <row r="31" spans="1:16" ht="16.5">
      <c r="A31" s="71">
        <v>20</v>
      </c>
      <c r="B31" s="71" t="s">
        <v>67</v>
      </c>
      <c r="C31" s="71">
        <f>IF(EXACT('lcd check'!B3,data!F31),20,0)</f>
        <v>0</v>
      </c>
      <c r="D31" s="74"/>
      <c r="E31" s="74"/>
      <c r="F31" s="71"/>
      <c r="G31" s="148"/>
      <c r="H31" s="71"/>
      <c r="I31" s="71"/>
      <c r="J31" s="148"/>
      <c r="P31">
        <f>C11</f>
        <v>1</v>
      </c>
    </row>
    <row r="32" spans="1:16" ht="15">
      <c r="G32" s="148"/>
      <c r="H32" s="70" t="s">
        <v>7</v>
      </c>
      <c r="I32" s="69">
        <f>CHOOSE(P31,'A1'!B31,'A2'!B31,'A3'!B31,'A4'!B31,'A5'!B31,'A6'!B31,'A7'!B31,'A8'!B31,'A9'!B31,'A10'!B31,'A11'!B31,'A12'!B31,'A13'!B31,'A14'!B31,'A15'!B31)</f>
        <v>0</v>
      </c>
      <c r="J32" s="148"/>
      <c r="P32">
        <f>C11</f>
        <v>1</v>
      </c>
    </row>
    <row r="33" spans="7:16" ht="15">
      <c r="G33" s="148"/>
      <c r="H33" s="70" t="s">
        <v>8</v>
      </c>
      <c r="I33" s="69">
        <f>CHOOSE(P32,'A1'!B32,'A2'!B32,'A3'!B32,'A4'!B32,'A5'!B32,'A6'!B32,'A7'!B32,'A8'!B32,'A9'!B32,'A10'!B32,'A11'!B32,'A12'!B32,'A13'!B32,'A14'!B32,'A15'!B32)</f>
        <v>0</v>
      </c>
      <c r="J33" s="148"/>
      <c r="P33">
        <f>C11</f>
        <v>1</v>
      </c>
    </row>
    <row r="34" spans="7:16" ht="16.5">
      <c r="G34" s="148"/>
      <c r="H34" s="71"/>
      <c r="I34" s="71"/>
      <c r="J34" s="148"/>
      <c r="P34">
        <f>C11</f>
        <v>1</v>
      </c>
    </row>
    <row r="35" spans="7:16" ht="15">
      <c r="G35" s="148"/>
      <c r="H35" s="70" t="s">
        <v>7</v>
      </c>
      <c r="I35" s="69">
        <f>CHOOSE(P34,'A1'!B34,'A2'!B34,'A3'!B34,'A4'!B34,'A5'!B34,'A6'!B34,'A7'!B34,'A8'!B34,'A9'!B34,'A10'!B34,'A11'!B34,'A12'!B34,'A13'!B34,'A14'!B34,'A15'!B34)</f>
        <v>0</v>
      </c>
      <c r="J35" s="148"/>
      <c r="P35">
        <f>C11</f>
        <v>1</v>
      </c>
    </row>
    <row r="36" spans="7:16" ht="15">
      <c r="G36" s="148"/>
      <c r="H36" s="70" t="s">
        <v>14</v>
      </c>
      <c r="I36" s="69">
        <f>CHOOSE(P35,'A1'!B35,'A2'!B35,'A3'!B35,'A4'!B35,'A5'!B35,'A6'!B35,'A7'!B35,'A8'!B35,'A9'!B35,'A10'!B35,'A11'!B35,'A12'!B35,'A13'!B35,'A14'!B35,'A15'!B35)</f>
        <v>0</v>
      </c>
      <c r="J36" s="148"/>
      <c r="P36">
        <f>C11</f>
        <v>1</v>
      </c>
    </row>
    <row r="37" spans="7:16" ht="16.5">
      <c r="G37" s="148"/>
      <c r="H37" s="71"/>
      <c r="I37" s="72"/>
      <c r="J37" s="148"/>
      <c r="P37">
        <f>C11</f>
        <v>1</v>
      </c>
    </row>
    <row r="38" spans="7:16" ht="15">
      <c r="G38" s="148"/>
      <c r="H38" s="70" t="s">
        <v>7</v>
      </c>
      <c r="I38" s="69">
        <f>CHOOSE(P37,'A1'!B37,'A2'!B37,'A3'!B37,'A4'!B37,'A5'!B37,'A6'!B37,'A7'!B37,'A8'!B37,'A9'!B37,'A10'!B37,'A11'!B37,'A12'!B37,'A13'!B37,'A14'!B37,'A15'!B37)</f>
        <v>0</v>
      </c>
      <c r="J38" s="148"/>
      <c r="P38">
        <f>C11</f>
        <v>1</v>
      </c>
    </row>
    <row r="39" spans="7:16" ht="15">
      <c r="G39" s="148"/>
      <c r="H39" s="70" t="s">
        <v>14</v>
      </c>
      <c r="I39" s="69">
        <f>CHOOSE(P38,'A1'!B38,'A2'!B38,'A3'!B38,'A4'!B38,'A5'!B38,'A6'!B38,'A7'!B38,'A8'!B38,'A9'!B38,'A10'!B38,'A11'!B38,'A12'!B38,'A13'!B38,'A14'!B38,'A15'!B38)</f>
        <v>0</v>
      </c>
      <c r="J39" s="148"/>
      <c r="P39">
        <f>C11</f>
        <v>1</v>
      </c>
    </row>
    <row r="40" spans="7:16" ht="16.5">
      <c r="G40" s="148"/>
      <c r="H40" s="71"/>
      <c r="I40" s="72"/>
      <c r="J40" s="148"/>
      <c r="P40">
        <f>C11</f>
        <v>1</v>
      </c>
    </row>
    <row r="41" spans="7:16" ht="15">
      <c r="G41" s="148"/>
      <c r="H41" s="68" t="s">
        <v>7</v>
      </c>
      <c r="I41" s="69">
        <f>CHOOSE(P40,'A1'!B40,'A2'!B40,'A3'!B40,'A4'!B40,'A5'!B40,'A6'!B40,'A7'!B40,'A8'!B40,'A9'!B40,'A10'!B40,'A11'!B40,'A12'!B40,'A13'!B40,'A14'!B40,'A15'!B40)</f>
        <v>0</v>
      </c>
      <c r="J41" s="148"/>
      <c r="P41">
        <f>C11</f>
        <v>1</v>
      </c>
    </row>
    <row r="42" spans="7:16" ht="15">
      <c r="G42" s="148"/>
      <c r="H42" s="70" t="s">
        <v>8</v>
      </c>
      <c r="I42" s="69">
        <f>CHOOSE(P41,'A1'!B41,'A2'!B41,'A3'!B41,'A4'!B41,'A5'!B41,'A6'!B41,'A7'!B41,'A8'!B41,'A9'!B41,'A10'!B41,'A11'!B41,'A12'!B41,'A13'!B41,'A14'!B41,'A15'!B41)</f>
        <v>0</v>
      </c>
      <c r="J42" s="148"/>
      <c r="P42">
        <f>C11</f>
        <v>1</v>
      </c>
    </row>
    <row r="43" spans="7:16" ht="16.5">
      <c r="G43" s="148"/>
      <c r="H43" s="71"/>
      <c r="I43" s="72"/>
      <c r="J43" s="148"/>
      <c r="P43">
        <f>C11</f>
        <v>1</v>
      </c>
    </row>
    <row r="44" spans="7:16" ht="15">
      <c r="G44" s="148"/>
      <c r="H44" s="70" t="s">
        <v>7</v>
      </c>
      <c r="I44" s="69">
        <f>CHOOSE(P43,'A1'!B43,'A2'!B43,'A3'!B43,'A4'!B43,'A5'!B43,'A6'!B43,'A7'!B43,'A8'!B43,'A9'!B43,'A10'!B43,'A11'!B43,'A12'!B43,'A13'!B43,'A14'!B43,'A15'!B43)</f>
        <v>0</v>
      </c>
      <c r="J44" s="148"/>
      <c r="P44">
        <f>C11</f>
        <v>1</v>
      </c>
    </row>
    <row r="45" spans="7:16" ht="15">
      <c r="G45" s="148"/>
      <c r="H45" s="70" t="s">
        <v>8</v>
      </c>
      <c r="I45" s="69">
        <f>CHOOSE(P44,'A1'!B44,'A2'!B44,'A3'!B44,'A4'!B44,'A5'!B44,'A6'!B44,'A7'!B44,'A8'!B44,'A9'!B44,'A10'!B44,'A11'!B44,'A12'!B44,'A13'!B44,'A14'!B44,'A15'!B44)</f>
        <v>0</v>
      </c>
      <c r="J45" s="148"/>
      <c r="P45">
        <f>C11</f>
        <v>1</v>
      </c>
    </row>
    <row r="46" spans="7:16" ht="16.5">
      <c r="G46" s="148"/>
      <c r="H46" s="71"/>
      <c r="I46" s="72"/>
      <c r="J46" s="148"/>
      <c r="P46">
        <f>C11</f>
        <v>1</v>
      </c>
    </row>
    <row r="47" spans="7:16" ht="15">
      <c r="G47" s="148"/>
      <c r="H47" s="70" t="s">
        <v>7</v>
      </c>
      <c r="I47" s="69">
        <f>CHOOSE(P46,'A1'!B46,'A2'!B46,'A3'!B46,'A4'!B46,'A5'!B46,'A6'!B46,'A7'!B46,'A8'!B46,'A9'!B46,'A10'!B46,'A11'!B46,'A12'!B46,'A13'!B46,'A14'!B46,'A15'!B46)</f>
        <v>0</v>
      </c>
      <c r="J47" s="148"/>
      <c r="P47">
        <f>C11</f>
        <v>1</v>
      </c>
    </row>
    <row r="48" spans="7:16" ht="15">
      <c r="G48" s="148"/>
      <c r="H48" s="70" t="s">
        <v>14</v>
      </c>
      <c r="I48" s="69">
        <f>CHOOSE(P47,'A1'!B47,'A2'!B47,'A3'!B47,'A4'!B47,'A5'!B47,'A6'!B47,'A7'!B47,'A8'!B47,'A9'!B47,'A10'!B47,'A11'!B47,'A12'!B47,'A13'!B47,'A14'!B47,'A15'!B47)</f>
        <v>0</v>
      </c>
      <c r="J48" s="148"/>
      <c r="P48">
        <f>C11</f>
        <v>1</v>
      </c>
    </row>
    <row r="49" spans="7:16" ht="16.5">
      <c r="G49" s="148"/>
      <c r="H49" s="71"/>
      <c r="I49" s="72"/>
      <c r="J49" s="148"/>
      <c r="P49">
        <f>C11</f>
        <v>1</v>
      </c>
    </row>
    <row r="50" spans="7:16" ht="15">
      <c r="G50" s="148"/>
      <c r="H50" s="68" t="s">
        <v>7</v>
      </c>
      <c r="I50" s="69">
        <f>CHOOSE(P49,'A1'!B49,'A2'!B49,'A3'!B49,'A4'!B49,'A5'!B49,'A6'!B49,'A7'!B49,'A8'!B49,'A9'!B49,'A10'!B49,'A11'!B49,'A12'!B49,'A13'!B49,'A14'!B49,'A15'!B49)</f>
        <v>0</v>
      </c>
      <c r="J50" s="148"/>
      <c r="P50">
        <f>C11</f>
        <v>1</v>
      </c>
    </row>
    <row r="51" spans="7:16" ht="15">
      <c r="G51" s="148"/>
      <c r="H51" s="70" t="s">
        <v>8</v>
      </c>
      <c r="I51" s="69">
        <f>CHOOSE(P50,'A1'!B50,'A2'!B50,'A3'!B50,'A4'!B50,'A5'!B50,'A6'!B50,'A7'!B50,'A8'!B50,'A9'!B50,'A10'!B50,'A11'!B50,'A12'!B50,'A13'!B50,'A14'!B50,'A15'!B50)</f>
        <v>0</v>
      </c>
      <c r="J51" s="148"/>
      <c r="P51">
        <f>C11</f>
        <v>1</v>
      </c>
    </row>
    <row r="52" spans="7:16" ht="16.5">
      <c r="G52" s="148"/>
      <c r="H52" s="71"/>
      <c r="I52" s="72"/>
      <c r="J52" s="148"/>
      <c r="P52">
        <f>C11</f>
        <v>1</v>
      </c>
    </row>
    <row r="53" spans="7:16" ht="15">
      <c r="G53" s="148"/>
      <c r="H53" s="70" t="s">
        <v>7</v>
      </c>
      <c r="I53" s="69">
        <f>CHOOSE(P52,'A1'!B52,'A2'!B52,'A3'!B52,'A4'!B52,'A5'!B52,'A6'!B52,'A7'!B52,'A8'!B52,'A9'!B52,'A10'!B52,'A11'!B52,'A12'!B52,'A13'!B52,'A14'!B52,'A15'!B52)</f>
        <v>0</v>
      </c>
      <c r="J53" s="148"/>
      <c r="P53">
        <f>C11</f>
        <v>1</v>
      </c>
    </row>
    <row r="54" spans="7:16" ht="15">
      <c r="G54" s="148"/>
      <c r="H54" s="70" t="s">
        <v>8</v>
      </c>
      <c r="I54" s="69">
        <f>CHOOSE(P53,'A1'!B53,'A2'!B53,'A3'!B53,'A4'!B53,'A5'!B53,'A6'!B53,'A7'!B53,'A8'!B53,'A9'!B53,'A10'!B53,'A11'!B53,'A12'!B53,'A13'!B53,'A14'!B53,'A15'!B53)</f>
        <v>0</v>
      </c>
      <c r="J54" s="148"/>
      <c r="P54">
        <f>C11</f>
        <v>1</v>
      </c>
    </row>
    <row r="55" spans="7:16" ht="16.5">
      <c r="G55" s="148"/>
      <c r="H55" s="71"/>
      <c r="I55" s="72"/>
      <c r="J55" s="148"/>
      <c r="P55">
        <f>C11</f>
        <v>1</v>
      </c>
    </row>
    <row r="56" spans="7:16" ht="15">
      <c r="G56" s="148"/>
      <c r="H56" s="70" t="s">
        <v>7</v>
      </c>
      <c r="I56" s="69">
        <f>CHOOSE(P55,'A1'!B55,'A2'!B55,'A3'!B55,'A4'!B55,'A5'!B55,'A6'!B55,'A7'!B55,'A8'!B55,'A9'!B55,'A10'!B55,'A11'!B55,'A12'!B55,'A13'!B55,'A14'!B55,'A15'!B55)</f>
        <v>0</v>
      </c>
      <c r="J56" s="148"/>
      <c r="P56">
        <f>C11</f>
        <v>1</v>
      </c>
    </row>
    <row r="57" spans="7:16" ht="15">
      <c r="G57" s="148"/>
      <c r="H57" s="70" t="s">
        <v>14</v>
      </c>
      <c r="I57" s="69">
        <f>CHOOSE(P56,'A1'!B56,'A2'!B56,'A3'!B56,'A4'!B56,'A5'!B56,'A6'!B56,'A7'!B56,'A8'!B56,'A9'!B56,'A10'!B56,'A11'!B56,'A12'!B56,'A13'!B56,'A14'!B56,'A15'!B56)</f>
        <v>0</v>
      </c>
      <c r="J57" s="148"/>
      <c r="P57">
        <f>C11</f>
        <v>1</v>
      </c>
    </row>
    <row r="58" spans="7:16" ht="16.5">
      <c r="G58" s="148"/>
      <c r="H58" s="71"/>
      <c r="I58" s="72"/>
      <c r="J58" s="148"/>
      <c r="P58">
        <f>C11</f>
        <v>1</v>
      </c>
    </row>
    <row r="59" spans="7:16" ht="15">
      <c r="G59" s="148"/>
      <c r="H59" s="70" t="s">
        <v>7</v>
      </c>
      <c r="I59" s="69">
        <f>CHOOSE(P58,'A1'!B58,'A2'!B58,'A3'!B58,'A4'!B58,'A5'!B58,'A6'!B58,'A7'!B58,'A8'!B58,'A9'!B58,'A10'!B58,'A11'!B58,'A12'!B58,'A13'!B58,'A14'!B58,'A15'!B58)</f>
        <v>0</v>
      </c>
      <c r="J59" s="148"/>
      <c r="P59">
        <f>C11</f>
        <v>1</v>
      </c>
    </row>
    <row r="60" spans="7:16" ht="15">
      <c r="G60" s="148"/>
      <c r="H60" s="70" t="s">
        <v>8</v>
      </c>
      <c r="I60" s="69">
        <f>CHOOSE(P59,'A1'!B59,'A2'!B59,'A3'!B59,'A4'!B59,'A5'!B59,'A6'!B59,'A7'!B59,'A8'!B59,'A9'!B59,'A10'!B59,'A11'!B59,'A12'!B59,'A13'!B59,'A14'!B59,'A15'!B59)</f>
        <v>0</v>
      </c>
      <c r="J60" s="148"/>
      <c r="P60">
        <f>C11</f>
        <v>1</v>
      </c>
    </row>
    <row r="61" spans="7:16" ht="16.5">
      <c r="G61" s="148"/>
      <c r="H61" s="71"/>
      <c r="I61" s="72"/>
      <c r="J61" s="148"/>
      <c r="P61">
        <f>C11</f>
        <v>1</v>
      </c>
    </row>
    <row r="62" spans="7:16" ht="15">
      <c r="G62" s="148"/>
      <c r="H62" s="70" t="s">
        <v>7</v>
      </c>
      <c r="I62" s="69">
        <f>CHOOSE(P61,'A1'!B61,'A2'!B61,'A3'!B61,'A4'!B61,'A5'!B61,'A6'!B61,'A7'!B61,'A8'!B61,'A9'!B61,'A10'!B61,'A11'!B61,'A12'!B61,'A13'!B61,'A14'!B61,'A15'!B61)</f>
        <v>0</v>
      </c>
      <c r="J62" s="148"/>
      <c r="P62">
        <f>C11</f>
        <v>1</v>
      </c>
    </row>
    <row r="63" spans="7:16" ht="15">
      <c r="G63" s="148"/>
      <c r="H63" s="70" t="s">
        <v>14</v>
      </c>
      <c r="I63" s="69">
        <f>CHOOSE(P62,'A1'!B62,'A2'!B62,'A3'!B62,'A4'!B62,'A5'!B62,'A6'!B62,'A7'!B62,'A8'!B62,'A9'!B62,'A10'!B62,'A11'!B62,'A12'!B62,'A13'!B62,'A14'!B62,'A15'!B62)</f>
        <v>0</v>
      </c>
      <c r="J63" s="148"/>
      <c r="P63">
        <f>C11</f>
        <v>1</v>
      </c>
    </row>
    <row r="64" spans="7:16">
      <c r="G64" s="148"/>
      <c r="H64" s="72"/>
      <c r="I64" s="72"/>
      <c r="J64" s="148"/>
      <c r="P64">
        <f>C11</f>
        <v>1</v>
      </c>
    </row>
    <row r="65" spans="7:16">
      <c r="G65" s="148"/>
      <c r="H65" s="73"/>
      <c r="I65" s="73"/>
      <c r="J65" s="148"/>
      <c r="P65">
        <f>C11</f>
        <v>1</v>
      </c>
    </row>
  </sheetData>
  <sheetProtection algorithmName="SHA-512" hashValue="LWs8P8mHJB6N2S0c/XLXqaBcs/54kw71sMknXvOEb9QExFgTsY0tu+amQhVC4gnz0raCv/PpyS5/OEEv5V5Qig==" saltValue="DV7EbXri0/NPpq32zNYdmg==" spinCount="100000" sheet="1" objects="1" scenarios="1" formatCells="0" formatColumns="0" formatRows="0" insertColumns="0" insertRows="0" selectLockedCells="1"/>
  <mergeCells count="9">
    <mergeCell ref="G1:G65"/>
    <mergeCell ref="J1:J65"/>
    <mergeCell ref="M2:N3"/>
    <mergeCell ref="A9:F9"/>
    <mergeCell ref="K1:N1"/>
    <mergeCell ref="A1:F1"/>
    <mergeCell ref="H1:I1"/>
    <mergeCell ref="K5:K14"/>
    <mergeCell ref="K15:K24"/>
  </mergeCells>
  <phoneticPr fontId="1" type="noConversion"/>
  <hyperlinks>
    <hyperlink ref="B12" location="'A1'!A1" display="A1"/>
    <hyperlink ref="B13" location="'A2'!A1" display="A2"/>
    <hyperlink ref="B14" location="'A3'!A1" display="A3"/>
    <hyperlink ref="B15" location="'A4'!A1" display="A4"/>
    <hyperlink ref="B16" location="'A5'!A1" display="A5"/>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66"/>
  <sheetViews>
    <sheetView workbookViewId="0">
      <selection activeCell="F4" sqref="F4"/>
    </sheetView>
  </sheetViews>
  <sheetFormatPr defaultRowHeight="13.5"/>
  <cols>
    <col min="1" max="1" width="14.625" customWidth="1"/>
    <col min="2" max="2" width="114.125" customWidth="1"/>
    <col min="3" max="3" width="6.5" customWidth="1"/>
    <col min="4" max="4" width="7.375" customWidth="1"/>
    <col min="6" max="6" width="34.125" customWidth="1"/>
    <col min="7" max="7" width="59.75" customWidth="1"/>
    <col min="8" max="8" width="21.625" customWidth="1"/>
    <col min="9" max="9" width="27.25" customWidth="1"/>
  </cols>
  <sheetData>
    <row r="1" spans="1:8" ht="17.25">
      <c r="A1" s="35" t="s">
        <v>7</v>
      </c>
      <c r="B1" s="60" t="s">
        <v>178</v>
      </c>
      <c r="E1" s="39" t="s">
        <v>16</v>
      </c>
      <c r="F1" s="39" t="s">
        <v>293</v>
      </c>
      <c r="G1" s="40" t="s">
        <v>170</v>
      </c>
      <c r="H1" s="41"/>
    </row>
    <row r="2" spans="1:8" ht="17.25">
      <c r="A2" s="35" t="s">
        <v>8</v>
      </c>
      <c r="B2" s="36" t="s">
        <v>280</v>
      </c>
      <c r="E2" s="39" t="s">
        <v>17</v>
      </c>
      <c r="F2" s="39" t="s">
        <v>292</v>
      </c>
      <c r="G2" s="42"/>
      <c r="H2" s="43"/>
    </row>
    <row r="3" spans="1:8" ht="16.5">
      <c r="A3" s="37"/>
      <c r="B3" s="37"/>
      <c r="E3" s="44" t="s">
        <v>18</v>
      </c>
      <c r="F3" s="45" t="s">
        <v>19</v>
      </c>
      <c r="G3" s="46" t="s">
        <v>20</v>
      </c>
      <c r="H3" s="46" t="s">
        <v>90</v>
      </c>
    </row>
    <row r="4" spans="1:8" ht="172.5">
      <c r="A4" s="35" t="s">
        <v>7</v>
      </c>
      <c r="B4" s="60" t="s">
        <v>190</v>
      </c>
      <c r="E4" s="160" t="s">
        <v>21</v>
      </c>
      <c r="F4" s="47" t="s">
        <v>197</v>
      </c>
      <c r="G4" s="48" t="s">
        <v>189</v>
      </c>
      <c r="H4" s="48" t="s">
        <v>171</v>
      </c>
    </row>
    <row r="5" spans="1:8" ht="33">
      <c r="A5" s="35" t="s">
        <v>8</v>
      </c>
      <c r="B5" s="61" t="s">
        <v>191</v>
      </c>
      <c r="E5" s="161"/>
      <c r="F5" s="47" t="s">
        <v>172</v>
      </c>
      <c r="G5" s="48" t="s">
        <v>173</v>
      </c>
      <c r="H5" s="48" t="s">
        <v>171</v>
      </c>
    </row>
    <row r="6" spans="1:8" ht="34.5">
      <c r="A6" s="37"/>
      <c r="B6" s="37"/>
      <c r="E6" s="161"/>
      <c r="F6" s="47" t="s">
        <v>176</v>
      </c>
      <c r="G6" s="48" t="s">
        <v>174</v>
      </c>
      <c r="H6" s="48" t="s">
        <v>175</v>
      </c>
    </row>
    <row r="7" spans="1:8" ht="25.5" customHeight="1">
      <c r="A7" s="35" t="s">
        <v>7</v>
      </c>
      <c r="B7" s="60" t="s">
        <v>192</v>
      </c>
      <c r="E7" s="161"/>
      <c r="F7" s="47"/>
      <c r="G7" s="48"/>
      <c r="H7" s="48" t="s">
        <v>175</v>
      </c>
    </row>
    <row r="8" spans="1:8" ht="379.5">
      <c r="A8" s="35" t="s">
        <v>8</v>
      </c>
      <c r="B8" s="61" t="s">
        <v>289</v>
      </c>
      <c r="E8" s="161"/>
      <c r="F8" s="47" t="s">
        <v>180</v>
      </c>
      <c r="G8" s="48" t="s">
        <v>284</v>
      </c>
      <c r="H8" s="48" t="s">
        <v>171</v>
      </c>
    </row>
    <row r="9" spans="1:8" ht="17.25">
      <c r="A9" s="37"/>
      <c r="B9" s="53"/>
      <c r="E9" s="161"/>
      <c r="F9" s="47" t="s">
        <v>181</v>
      </c>
      <c r="G9" s="48" t="s">
        <v>177</v>
      </c>
      <c r="H9" s="48" t="s">
        <v>175</v>
      </c>
    </row>
    <row r="10" spans="1:8" ht="17.25">
      <c r="A10" s="35" t="s">
        <v>7</v>
      </c>
      <c r="B10" s="109" t="s">
        <v>193</v>
      </c>
      <c r="E10" s="161"/>
      <c r="F10" s="47" t="s">
        <v>287</v>
      </c>
      <c r="G10" s="48" t="s">
        <v>285</v>
      </c>
      <c r="H10" s="48" t="s">
        <v>286</v>
      </c>
    </row>
    <row r="11" spans="1:8" ht="297">
      <c r="A11" s="35" t="s">
        <v>8</v>
      </c>
      <c r="B11" s="108" t="s">
        <v>194</v>
      </c>
      <c r="E11" s="161"/>
      <c r="F11" s="47"/>
      <c r="G11" s="48"/>
      <c r="H11" s="48"/>
    </row>
    <row r="12" spans="1:8" ht="17.25">
      <c r="A12" s="37"/>
      <c r="B12" s="53"/>
      <c r="E12" s="161"/>
      <c r="F12" s="47"/>
      <c r="G12" s="48"/>
      <c r="H12" s="48"/>
    </row>
    <row r="13" spans="1:8" ht="17.25">
      <c r="A13" s="35" t="s">
        <v>7</v>
      </c>
      <c r="B13" s="109" t="s">
        <v>196</v>
      </c>
      <c r="E13" s="162"/>
      <c r="F13" s="47"/>
      <c r="G13" s="48"/>
      <c r="H13" s="48"/>
    </row>
    <row r="14" spans="1:8" ht="198">
      <c r="A14" s="35" t="s">
        <v>8</v>
      </c>
      <c r="B14" s="108" t="s">
        <v>195</v>
      </c>
      <c r="E14" s="160" t="s">
        <v>22</v>
      </c>
      <c r="F14" s="49" t="s">
        <v>179</v>
      </c>
      <c r="G14" s="50" t="s">
        <v>202</v>
      </c>
      <c r="H14" s="50" t="s">
        <v>187</v>
      </c>
    </row>
    <row r="15" spans="1:8" ht="86.25">
      <c r="A15" s="37"/>
      <c r="B15" s="53"/>
      <c r="E15" s="161"/>
      <c r="F15" s="49" t="s">
        <v>185</v>
      </c>
      <c r="G15" s="50" t="s">
        <v>186</v>
      </c>
      <c r="H15" s="50" t="s">
        <v>188</v>
      </c>
    </row>
    <row r="16" spans="1:8" ht="17.25">
      <c r="A16" s="35" t="s">
        <v>7</v>
      </c>
      <c r="B16" s="109" t="s">
        <v>198</v>
      </c>
      <c r="E16" s="161"/>
      <c r="F16" s="49"/>
      <c r="G16" s="50"/>
      <c r="H16" s="50"/>
    </row>
    <row r="17" spans="1:8" ht="66">
      <c r="A17" s="35" t="s">
        <v>8</v>
      </c>
      <c r="B17" s="108" t="s">
        <v>200</v>
      </c>
      <c r="E17" s="161"/>
      <c r="F17" s="49"/>
      <c r="G17" s="50"/>
      <c r="H17" s="50"/>
    </row>
    <row r="18" spans="1:8" ht="17.25">
      <c r="A18" s="37"/>
      <c r="B18" s="53"/>
      <c r="E18" s="161"/>
      <c r="F18" s="49"/>
      <c r="G18" s="50"/>
      <c r="H18" s="50"/>
    </row>
    <row r="19" spans="1:8" ht="17.25">
      <c r="A19" s="35" t="s">
        <v>7</v>
      </c>
      <c r="B19" s="109" t="s">
        <v>201</v>
      </c>
      <c r="E19" s="161"/>
      <c r="F19" s="49"/>
      <c r="G19" s="50"/>
      <c r="H19" s="50"/>
    </row>
    <row r="20" spans="1:8" ht="17.25" customHeight="1">
      <c r="A20" s="35" t="s">
        <v>8</v>
      </c>
      <c r="B20" s="52" t="s">
        <v>203</v>
      </c>
      <c r="E20" s="161"/>
      <c r="F20" s="51"/>
      <c r="G20" s="51"/>
      <c r="H20" s="51"/>
    </row>
    <row r="21" spans="1:8" ht="16.5" customHeight="1">
      <c r="A21" s="37"/>
      <c r="B21" s="53"/>
      <c r="E21" s="161"/>
      <c r="F21" s="51"/>
      <c r="G21" s="51"/>
      <c r="H21" s="51"/>
    </row>
    <row r="22" spans="1:8" ht="16.5" customHeight="1">
      <c r="A22" s="35" t="s">
        <v>7</v>
      </c>
      <c r="B22" s="109" t="s">
        <v>199</v>
      </c>
      <c r="E22" s="161"/>
      <c r="F22" s="51"/>
      <c r="G22" s="51"/>
      <c r="H22" s="51"/>
    </row>
    <row r="23" spans="1:8" ht="69.75" customHeight="1">
      <c r="A23" s="35" t="s">
        <v>8</v>
      </c>
      <c r="B23" s="108" t="s">
        <v>283</v>
      </c>
      <c r="E23" s="162"/>
      <c r="F23" s="51"/>
      <c r="G23" s="51"/>
      <c r="H23" s="51"/>
    </row>
    <row r="24" spans="1:8" ht="16.5" customHeight="1">
      <c r="A24" s="37"/>
      <c r="B24" s="53"/>
    </row>
    <row r="25" spans="1:8" ht="25.5" customHeight="1">
      <c r="A25" s="35" t="s">
        <v>7</v>
      </c>
      <c r="B25" s="109" t="s">
        <v>281</v>
      </c>
    </row>
    <row r="26" spans="1:8" ht="91.5" customHeight="1">
      <c r="A26" s="35" t="s">
        <v>8</v>
      </c>
      <c r="B26" s="108" t="s">
        <v>282</v>
      </c>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row r="63" spans="1:2" ht="16.5">
      <c r="A63" s="37"/>
      <c r="B63" s="53"/>
    </row>
    <row r="64" spans="1:2" ht="16.5">
      <c r="A64" s="35"/>
      <c r="B64" s="52"/>
    </row>
    <row r="65" spans="1:2" ht="16.5">
      <c r="A65" s="35"/>
      <c r="B65" s="52"/>
    </row>
    <row r="66" spans="1:2" ht="16.5">
      <c r="A66" s="37"/>
      <c r="B66" s="53"/>
    </row>
  </sheetData>
  <sheetProtection algorithmName="SHA-512" hashValue="A4tYyfYfm57nGYLLX7lPpRh3Qk8udzvWD3aSXAqQ5pRjbAiMNWPtSAJDMqLSssV3T3P9mXfESzImxeF2GdQTIw==" saltValue="I6PtQxXFTad2yiGC5/qpVQ==" spinCount="100000" sheet="1" objects="1" scenarios="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66"/>
  <sheetViews>
    <sheetView topLeftCell="B19" workbookViewId="0">
      <selection activeCell="B17" sqref="B17"/>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60" t="s">
        <v>121</v>
      </c>
      <c r="E1" s="39" t="s">
        <v>16</v>
      </c>
      <c r="F1" s="39" t="s">
        <v>53</v>
      </c>
      <c r="G1" s="40" t="s">
        <v>89</v>
      </c>
      <c r="H1" s="41"/>
    </row>
    <row r="2" spans="1:8" ht="33">
      <c r="A2" s="35" t="s">
        <v>8</v>
      </c>
      <c r="B2" s="61" t="s">
        <v>122</v>
      </c>
      <c r="E2" s="39" t="s">
        <v>17</v>
      </c>
      <c r="F2" s="39" t="s">
        <v>54</v>
      </c>
      <c r="G2" s="42"/>
      <c r="H2" s="43"/>
    </row>
    <row r="3" spans="1:8" ht="16.5">
      <c r="A3" s="37"/>
      <c r="B3" s="37"/>
      <c r="E3" s="44" t="s">
        <v>18</v>
      </c>
      <c r="F3" s="45" t="s">
        <v>19</v>
      </c>
      <c r="G3" s="46" t="s">
        <v>20</v>
      </c>
      <c r="H3" s="46" t="s">
        <v>90</v>
      </c>
    </row>
    <row r="4" spans="1:8" ht="34.5">
      <c r="A4" s="35" t="s">
        <v>7</v>
      </c>
      <c r="B4" s="63" t="s">
        <v>123</v>
      </c>
      <c r="E4" s="160" t="s">
        <v>21</v>
      </c>
      <c r="F4" s="47" t="s">
        <v>92</v>
      </c>
      <c r="G4" s="48" t="s">
        <v>103</v>
      </c>
      <c r="H4" s="48" t="s">
        <v>91</v>
      </c>
    </row>
    <row r="5" spans="1:8" ht="120.75">
      <c r="A5" s="35" t="s">
        <v>8</v>
      </c>
      <c r="B5" s="61" t="s">
        <v>124</v>
      </c>
      <c r="E5" s="161"/>
      <c r="F5" s="47" t="s">
        <v>104</v>
      </c>
      <c r="G5" s="48" t="s">
        <v>105</v>
      </c>
      <c r="H5" s="48" t="s">
        <v>91</v>
      </c>
    </row>
    <row r="6" spans="1:8" ht="51.75">
      <c r="A6" s="37"/>
      <c r="B6" s="37"/>
      <c r="E6" s="161"/>
      <c r="F6" s="47" t="s">
        <v>101</v>
      </c>
      <c r="G6" s="48" t="s">
        <v>106</v>
      </c>
      <c r="H6" s="48" t="s">
        <v>94</v>
      </c>
    </row>
    <row r="7" spans="1:8" ht="34.5">
      <c r="A7" s="35" t="s">
        <v>7</v>
      </c>
      <c r="B7" s="63" t="s">
        <v>125</v>
      </c>
      <c r="E7" s="161"/>
      <c r="F7" s="47" t="s">
        <v>107</v>
      </c>
      <c r="G7" s="48" t="s">
        <v>102</v>
      </c>
      <c r="H7" s="48" t="s">
        <v>94</v>
      </c>
    </row>
    <row r="8" spans="1:8" ht="247.5">
      <c r="A8" s="35" t="s">
        <v>8</v>
      </c>
      <c r="B8" s="61" t="s">
        <v>126</v>
      </c>
      <c r="E8" s="161"/>
      <c r="F8" s="47" t="s">
        <v>95</v>
      </c>
      <c r="G8" s="48" t="s">
        <v>98</v>
      </c>
      <c r="H8" s="48" t="s">
        <v>94</v>
      </c>
    </row>
    <row r="9" spans="1:8" ht="34.5">
      <c r="A9" s="37"/>
      <c r="B9" s="53"/>
      <c r="E9" s="161"/>
      <c r="F9" s="47" t="s">
        <v>96</v>
      </c>
      <c r="G9" s="48" t="s">
        <v>97</v>
      </c>
      <c r="H9" s="48" t="s">
        <v>94</v>
      </c>
    </row>
    <row r="10" spans="1:8" ht="34.5">
      <c r="A10" s="35" t="s">
        <v>7</v>
      </c>
      <c r="B10" s="60" t="s">
        <v>127</v>
      </c>
      <c r="E10" s="161"/>
      <c r="F10" s="47" t="s">
        <v>99</v>
      </c>
      <c r="G10" s="48" t="s">
        <v>100</v>
      </c>
      <c r="H10" s="48" t="s">
        <v>93</v>
      </c>
    </row>
    <row r="11" spans="1:8" ht="132">
      <c r="A11" s="35" t="s">
        <v>8</v>
      </c>
      <c r="B11" s="61" t="s">
        <v>290</v>
      </c>
      <c r="E11" s="161"/>
      <c r="F11" s="47"/>
      <c r="G11" s="48"/>
      <c r="H11" s="48"/>
    </row>
    <row r="12" spans="1:8" ht="17.25">
      <c r="A12" s="37"/>
      <c r="B12" s="53"/>
      <c r="E12" s="161"/>
      <c r="F12" s="47"/>
      <c r="G12" s="48"/>
      <c r="H12" s="48"/>
    </row>
    <row r="13" spans="1:8" ht="17.25">
      <c r="A13" s="35" t="s">
        <v>7</v>
      </c>
      <c r="B13" s="60" t="s">
        <v>128</v>
      </c>
      <c r="E13" s="162"/>
      <c r="F13" s="47"/>
      <c r="G13" s="48"/>
      <c r="H13" s="48"/>
    </row>
    <row r="14" spans="1:8" ht="132">
      <c r="A14" s="35" t="s">
        <v>8</v>
      </c>
      <c r="B14" s="61" t="s">
        <v>129</v>
      </c>
      <c r="E14" s="160" t="s">
        <v>22</v>
      </c>
      <c r="F14" s="49" t="s">
        <v>108</v>
      </c>
      <c r="G14" s="50" t="s">
        <v>109</v>
      </c>
      <c r="H14" s="50" t="s">
        <v>111</v>
      </c>
    </row>
    <row r="15" spans="1:8" ht="86.25">
      <c r="A15" s="37"/>
      <c r="B15" s="53"/>
      <c r="E15" s="161"/>
      <c r="F15" s="49" t="s">
        <v>112</v>
      </c>
      <c r="G15" s="50" t="s">
        <v>113</v>
      </c>
      <c r="H15" s="50" t="s">
        <v>110</v>
      </c>
    </row>
    <row r="16" spans="1:8" ht="120.75">
      <c r="A16" s="35" t="s">
        <v>164</v>
      </c>
      <c r="B16" s="60" t="s">
        <v>130</v>
      </c>
      <c r="E16" s="161"/>
      <c r="F16" s="49" t="s">
        <v>114</v>
      </c>
      <c r="G16" s="50" t="s">
        <v>115</v>
      </c>
      <c r="H16" s="50" t="s">
        <v>110</v>
      </c>
    </row>
    <row r="17" spans="1:8" ht="327.75">
      <c r="A17" s="35" t="s">
        <v>8</v>
      </c>
      <c r="B17" s="112" t="s">
        <v>291</v>
      </c>
      <c r="E17" s="161"/>
      <c r="F17" s="49" t="s">
        <v>116</v>
      </c>
      <c r="G17" s="50" t="s">
        <v>117</v>
      </c>
      <c r="H17" s="50" t="s">
        <v>110</v>
      </c>
    </row>
    <row r="18" spans="1:8" ht="86.25">
      <c r="A18" s="37"/>
      <c r="B18" s="53"/>
      <c r="E18" s="161"/>
      <c r="F18" s="49" t="s">
        <v>118</v>
      </c>
      <c r="G18" s="50" t="s">
        <v>119</v>
      </c>
      <c r="H18" s="50" t="s">
        <v>110</v>
      </c>
    </row>
    <row r="19" spans="1:8" ht="103.5">
      <c r="A19" s="35" t="s">
        <v>7</v>
      </c>
      <c r="B19" s="60" t="s">
        <v>131</v>
      </c>
      <c r="E19" s="161"/>
      <c r="F19" s="49" t="s">
        <v>120</v>
      </c>
      <c r="G19" s="50" t="s">
        <v>52</v>
      </c>
      <c r="H19" s="50" t="s">
        <v>110</v>
      </c>
    </row>
    <row r="20" spans="1:8" ht="16.5">
      <c r="A20" s="35" t="s">
        <v>8</v>
      </c>
      <c r="B20" s="61" t="s">
        <v>288</v>
      </c>
      <c r="E20" s="161"/>
      <c r="F20" s="51"/>
      <c r="G20" s="51"/>
      <c r="H20" s="51"/>
    </row>
    <row r="21" spans="1:8" ht="17.25" customHeight="1">
      <c r="A21" s="37"/>
      <c r="B21" s="53"/>
      <c r="E21" s="161"/>
      <c r="F21" s="51"/>
      <c r="G21" s="51"/>
      <c r="H21" s="51"/>
    </row>
    <row r="22" spans="1:8" ht="17.25" customHeight="1">
      <c r="A22" s="35" t="s">
        <v>7</v>
      </c>
      <c r="B22" s="60"/>
      <c r="E22" s="161"/>
      <c r="F22" s="51"/>
      <c r="G22" s="51"/>
      <c r="H22" s="51"/>
    </row>
    <row r="23" spans="1:8" ht="17.25" customHeight="1">
      <c r="A23" s="35" t="s">
        <v>8</v>
      </c>
      <c r="B23" s="36"/>
      <c r="E23" s="162"/>
      <c r="F23" s="51"/>
      <c r="G23" s="51"/>
      <c r="H23" s="51"/>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row r="63" spans="1:2" ht="16.5">
      <c r="A63" s="37"/>
      <c r="B63" s="53"/>
    </row>
    <row r="64" spans="1:2" ht="16.5">
      <c r="A64" s="35"/>
      <c r="B64" s="52"/>
    </row>
    <row r="65" spans="1:2" ht="16.5">
      <c r="A65" s="35"/>
      <c r="B65" s="52"/>
    </row>
    <row r="66" spans="1:2" ht="16.5">
      <c r="A66" s="37"/>
      <c r="B66" s="53"/>
    </row>
  </sheetData>
  <sheetProtection algorithmName="SHA-512" hashValue="pj4+XsZJDzKnQ7MW/rOxXZR6PBSzD55i7FyYlXQN98Nch8jWDz1MAhh6OQFkq0brcu1i1aRGam+cOdkzHQTkfw==" saltValue="tFlPbAkAEgv3MZbskpEtq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9"/>
  <sheetViews>
    <sheetView topLeftCell="B16" workbookViewId="0">
      <selection activeCell="B23" sqref="B23"/>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60" t="s">
        <v>152</v>
      </c>
      <c r="E1" s="39" t="s">
        <v>16</v>
      </c>
      <c r="F1" s="39" t="s">
        <v>30</v>
      </c>
      <c r="G1" s="40" t="s">
        <v>132</v>
      </c>
      <c r="H1" s="41"/>
    </row>
    <row r="2" spans="1:8" ht="379.5">
      <c r="A2" s="35" t="s">
        <v>8</v>
      </c>
      <c r="B2" s="61" t="s">
        <v>169</v>
      </c>
      <c r="E2" s="39" t="s">
        <v>17</v>
      </c>
      <c r="F2" s="39" t="s">
        <v>29</v>
      </c>
      <c r="G2" s="62"/>
      <c r="H2" s="43"/>
    </row>
    <row r="3" spans="1:8" ht="16.5">
      <c r="A3" s="37"/>
      <c r="B3" s="37"/>
      <c r="E3" s="44" t="s">
        <v>18</v>
      </c>
      <c r="F3" s="45" t="s">
        <v>19</v>
      </c>
      <c r="G3" s="46" t="s">
        <v>20</v>
      </c>
      <c r="H3" s="46" t="s">
        <v>90</v>
      </c>
    </row>
    <row r="4" spans="1:8" ht="34.5">
      <c r="A4" s="35" t="s">
        <v>7</v>
      </c>
      <c r="B4" s="60" t="s">
        <v>153</v>
      </c>
      <c r="E4" s="160" t="s">
        <v>21</v>
      </c>
      <c r="F4" s="47" t="s">
        <v>134</v>
      </c>
      <c r="G4" s="48" t="s">
        <v>133</v>
      </c>
      <c r="H4" s="48"/>
    </row>
    <row r="5" spans="1:8" ht="409.5">
      <c r="A5" s="35" t="s">
        <v>8</v>
      </c>
      <c r="B5" s="61" t="s">
        <v>154</v>
      </c>
      <c r="E5" s="161"/>
      <c r="F5" s="47" t="s">
        <v>135</v>
      </c>
      <c r="G5" s="48" t="s">
        <v>137</v>
      </c>
      <c r="H5" s="48" t="s">
        <v>175</v>
      </c>
    </row>
    <row r="6" spans="1:8" ht="51.75">
      <c r="A6" s="37"/>
      <c r="B6" s="37"/>
      <c r="E6" s="161"/>
      <c r="F6" s="47" t="s">
        <v>136</v>
      </c>
      <c r="G6" s="48" t="s">
        <v>151</v>
      </c>
      <c r="H6" s="48" t="s">
        <v>175</v>
      </c>
    </row>
    <row r="7" spans="1:8" ht="69">
      <c r="A7" s="35" t="s">
        <v>7</v>
      </c>
      <c r="B7" s="60" t="s">
        <v>156</v>
      </c>
      <c r="E7" s="161"/>
      <c r="F7" s="47" t="s">
        <v>138</v>
      </c>
      <c r="G7" s="48" t="s">
        <v>139</v>
      </c>
      <c r="H7" s="48" t="s">
        <v>140</v>
      </c>
    </row>
    <row r="8" spans="1:8" ht="198">
      <c r="A8" s="35" t="s">
        <v>8</v>
      </c>
      <c r="B8" s="61" t="s">
        <v>155</v>
      </c>
      <c r="E8" s="161"/>
      <c r="F8" s="47" t="s">
        <v>141</v>
      </c>
      <c r="G8" s="48" t="s">
        <v>142</v>
      </c>
      <c r="H8" s="48" t="s">
        <v>143</v>
      </c>
    </row>
    <row r="9" spans="1:8" ht="17.25">
      <c r="A9" s="37"/>
      <c r="B9" s="53"/>
      <c r="E9" s="161"/>
      <c r="F9" s="47"/>
      <c r="G9" s="48"/>
      <c r="H9" s="48"/>
    </row>
    <row r="10" spans="1:8" ht="17.25">
      <c r="A10" s="35" t="s">
        <v>7</v>
      </c>
      <c r="B10" s="60" t="s">
        <v>159</v>
      </c>
      <c r="E10" s="161"/>
      <c r="F10" s="47"/>
      <c r="G10" s="48"/>
      <c r="H10" s="48"/>
    </row>
    <row r="11" spans="1:8" ht="148.5">
      <c r="A11" s="35" t="s">
        <v>8</v>
      </c>
      <c r="B11" s="61" t="s">
        <v>158</v>
      </c>
      <c r="E11" s="161"/>
      <c r="F11" s="47"/>
      <c r="G11" s="48"/>
      <c r="H11" s="48"/>
    </row>
    <row r="12" spans="1:8" ht="17.25">
      <c r="A12" s="37"/>
      <c r="B12" s="53"/>
      <c r="E12" s="161"/>
      <c r="F12" s="47"/>
      <c r="G12" s="48"/>
      <c r="H12" s="48"/>
    </row>
    <row r="13" spans="1:8" ht="17.25">
      <c r="A13" s="35" t="s">
        <v>7</v>
      </c>
      <c r="B13" s="60" t="s">
        <v>162</v>
      </c>
      <c r="E13" s="162"/>
      <c r="F13" s="47"/>
      <c r="G13" s="48"/>
      <c r="H13" s="48"/>
    </row>
    <row r="14" spans="1:8" ht="280.5">
      <c r="A14" s="35" t="s">
        <v>8</v>
      </c>
      <c r="B14" s="61" t="s">
        <v>163</v>
      </c>
      <c r="E14" s="160" t="s">
        <v>167</v>
      </c>
      <c r="F14" s="49" t="s">
        <v>144</v>
      </c>
      <c r="G14" s="50" t="s">
        <v>145</v>
      </c>
      <c r="H14" s="50" t="s">
        <v>183</v>
      </c>
    </row>
    <row r="15" spans="1:8" ht="34.5">
      <c r="A15" s="37"/>
      <c r="B15" s="53"/>
      <c r="E15" s="161"/>
      <c r="F15" s="49" t="s">
        <v>146</v>
      </c>
      <c r="G15" s="50" t="s">
        <v>147</v>
      </c>
      <c r="H15" s="50" t="s">
        <v>110</v>
      </c>
    </row>
    <row r="16" spans="1:8" ht="34.5">
      <c r="A16" s="35" t="s">
        <v>7</v>
      </c>
      <c r="B16" s="109" t="s">
        <v>157</v>
      </c>
      <c r="E16" s="161"/>
      <c r="F16" s="49" t="s">
        <v>148</v>
      </c>
      <c r="G16" s="50" t="s">
        <v>149</v>
      </c>
      <c r="H16" s="50" t="s">
        <v>110</v>
      </c>
    </row>
    <row r="17" spans="1:8" ht="103.5">
      <c r="A17" s="35" t="s">
        <v>8</v>
      </c>
      <c r="B17" s="52" t="s">
        <v>160</v>
      </c>
      <c r="E17" s="161"/>
      <c r="F17" s="49" t="s">
        <v>150</v>
      </c>
      <c r="G17" s="50" t="s">
        <v>184</v>
      </c>
      <c r="H17" s="50" t="s">
        <v>182</v>
      </c>
    </row>
    <row r="18" spans="1:8" ht="17.25">
      <c r="A18" s="37"/>
      <c r="B18" s="53"/>
      <c r="E18" s="161"/>
      <c r="F18" s="49"/>
      <c r="G18" s="50"/>
      <c r="H18" s="50"/>
    </row>
    <row r="19" spans="1:8" ht="17.25">
      <c r="A19" s="35" t="s">
        <v>7</v>
      </c>
      <c r="B19" s="109" t="s">
        <v>168</v>
      </c>
      <c r="E19" s="161"/>
      <c r="F19" s="49"/>
      <c r="G19" s="50"/>
      <c r="H19" s="50"/>
    </row>
    <row r="20" spans="1:8" ht="409.5" customHeight="1">
      <c r="A20" s="35" t="s">
        <v>8</v>
      </c>
      <c r="B20" s="115" t="s">
        <v>161</v>
      </c>
      <c r="E20" s="161"/>
      <c r="F20" s="51"/>
      <c r="G20" s="51"/>
      <c r="H20" s="51"/>
    </row>
    <row r="21" spans="1:8" ht="16.5" customHeight="1">
      <c r="A21" s="37"/>
      <c r="B21" s="53"/>
      <c r="E21" s="161"/>
      <c r="F21" s="51"/>
      <c r="G21" s="51"/>
      <c r="H21" s="51"/>
    </row>
    <row r="22" spans="1:8" ht="16.5" customHeight="1">
      <c r="A22" s="35" t="s">
        <v>7</v>
      </c>
      <c r="B22" s="109" t="s">
        <v>165</v>
      </c>
      <c r="E22" s="161"/>
      <c r="F22" s="51"/>
      <c r="G22" s="51"/>
      <c r="H22" s="51"/>
    </row>
    <row r="23" spans="1:8" ht="150" customHeight="1">
      <c r="A23" s="35" t="s">
        <v>8</v>
      </c>
      <c r="B23" s="108" t="s">
        <v>166</v>
      </c>
      <c r="E23" s="162"/>
      <c r="F23" s="51"/>
      <c r="G23" s="51"/>
      <c r="H23" s="51"/>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row r="63" spans="1:2" ht="16.5">
      <c r="A63" s="37"/>
      <c r="B63" s="53"/>
    </row>
    <row r="64" spans="1:2" ht="16.5">
      <c r="A64" s="35"/>
      <c r="B64" s="52"/>
    </row>
    <row r="65" spans="1:2" ht="16.5">
      <c r="A65" s="35"/>
      <c r="B65" s="52"/>
    </row>
    <row r="66" spans="1:2" ht="16.5">
      <c r="A66" s="37"/>
      <c r="B66" s="53"/>
    </row>
    <row r="67" spans="1:2" ht="16.5">
      <c r="A67" s="35"/>
      <c r="B67" s="52"/>
    </row>
    <row r="68" spans="1:2" ht="16.5">
      <c r="A68" s="35"/>
      <c r="B68" s="52"/>
    </row>
    <row r="69" spans="1:2" ht="16.5">
      <c r="A69" s="37"/>
      <c r="B69" s="53"/>
    </row>
  </sheetData>
  <sheetProtection algorithmName="SHA-512" hashValue="Z1YW6MkXlIR0uVLKAi5yV5dhDjO/Mb/LXLH8MeK9NDUZyhZ206Mm0njaWT81PLAiItCEHTSy8ImAC9VH2qyFew==" saltValue="UnObeFlvbGuh/YW5fZG+ZQ=="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3"/>
  <sheetViews>
    <sheetView workbookViewId="0">
      <selection activeCell="B17" sqref="B17"/>
    </sheetView>
  </sheetViews>
  <sheetFormatPr defaultRowHeight="13.5"/>
  <cols>
    <col min="1" max="1" width="14.625" customWidth="1"/>
    <col min="2" max="2" width="114.125" customWidth="1"/>
    <col min="6" max="6" width="33" customWidth="1"/>
    <col min="7" max="7" width="39" customWidth="1"/>
    <col min="8" max="8" width="21.625" customWidth="1"/>
    <col min="9" max="9" width="27.25" customWidth="1"/>
  </cols>
  <sheetData>
    <row r="1" spans="1:8" ht="17.25" customHeight="1">
      <c r="A1" s="35" t="s">
        <v>7</v>
      </c>
      <c r="B1" s="36" t="s">
        <v>214</v>
      </c>
      <c r="E1" s="39" t="s">
        <v>16</v>
      </c>
      <c r="F1" s="39" t="s">
        <v>30</v>
      </c>
      <c r="G1" s="40" t="s">
        <v>204</v>
      </c>
      <c r="H1" s="41"/>
    </row>
    <row r="2" spans="1:8" ht="17.25">
      <c r="A2" s="35" t="s">
        <v>8</v>
      </c>
      <c r="B2" s="36" t="s">
        <v>215</v>
      </c>
      <c r="E2" s="39" t="s">
        <v>17</v>
      </c>
      <c r="F2" s="39" t="s">
        <v>29</v>
      </c>
      <c r="G2" s="42"/>
      <c r="H2" s="43"/>
    </row>
    <row r="3" spans="1:8" ht="16.5">
      <c r="A3" s="37"/>
      <c r="B3" s="37"/>
      <c r="E3" s="44" t="s">
        <v>18</v>
      </c>
      <c r="F3" s="45" t="s">
        <v>19</v>
      </c>
      <c r="G3" s="46" t="s">
        <v>20</v>
      </c>
      <c r="H3" s="46" t="s">
        <v>24</v>
      </c>
    </row>
    <row r="4" spans="1:8" ht="34.5">
      <c r="A4" s="35" t="s">
        <v>7</v>
      </c>
      <c r="B4" s="36" t="s">
        <v>47</v>
      </c>
      <c r="E4" s="160" t="s">
        <v>21</v>
      </c>
      <c r="F4" s="47" t="s">
        <v>205</v>
      </c>
      <c r="G4" s="48" t="s">
        <v>49</v>
      </c>
      <c r="H4" s="48"/>
    </row>
    <row r="5" spans="1:8" ht="34.5">
      <c r="A5" s="35" t="s">
        <v>8</v>
      </c>
      <c r="B5" s="36" t="s">
        <v>38</v>
      </c>
      <c r="E5" s="161"/>
      <c r="F5" s="47" t="s">
        <v>206</v>
      </c>
      <c r="G5" s="48" t="s">
        <v>207</v>
      </c>
      <c r="H5" s="48"/>
    </row>
    <row r="6" spans="1:8" ht="17.25">
      <c r="A6" s="37"/>
      <c r="B6" s="37"/>
      <c r="E6" s="161"/>
      <c r="F6" s="47"/>
      <c r="G6" s="48"/>
      <c r="H6" s="48"/>
    </row>
    <row r="7" spans="1:8" ht="17.25">
      <c r="A7" s="35" t="s">
        <v>7</v>
      </c>
      <c r="B7" s="36" t="s">
        <v>5</v>
      </c>
      <c r="E7" s="161"/>
      <c r="F7" s="47"/>
      <c r="G7" s="48"/>
      <c r="H7" s="48"/>
    </row>
    <row r="8" spans="1:8" ht="17.25">
      <c r="A8" s="35" t="s">
        <v>8</v>
      </c>
      <c r="B8" s="36" t="s">
        <v>41</v>
      </c>
      <c r="E8" s="161"/>
      <c r="F8" s="47"/>
      <c r="G8" s="48"/>
      <c r="H8" s="48"/>
    </row>
    <row r="9" spans="1:8" ht="17.25">
      <c r="A9" s="37"/>
      <c r="B9" s="37"/>
      <c r="E9" s="161"/>
      <c r="F9" s="47"/>
      <c r="G9" s="48"/>
      <c r="H9" s="48"/>
    </row>
    <row r="10" spans="1:8" ht="17.25">
      <c r="A10" s="35" t="s">
        <v>7</v>
      </c>
      <c r="B10" s="60"/>
      <c r="E10" s="161"/>
      <c r="F10" s="47"/>
      <c r="G10" s="48"/>
      <c r="H10" s="48"/>
    </row>
    <row r="11" spans="1:8" ht="17.25">
      <c r="A11" s="35" t="s">
        <v>8</v>
      </c>
      <c r="B11" s="61"/>
      <c r="E11" s="161"/>
      <c r="F11" s="47"/>
      <c r="G11" s="48"/>
      <c r="H11" s="48"/>
    </row>
    <row r="12" spans="1:8" ht="17.25">
      <c r="A12" s="35"/>
      <c r="B12" s="37"/>
      <c r="E12" s="161"/>
      <c r="F12" s="47"/>
      <c r="G12" s="48"/>
      <c r="H12" s="48"/>
    </row>
    <row r="13" spans="1:8" ht="17.25">
      <c r="A13" s="35" t="s">
        <v>216</v>
      </c>
      <c r="B13" s="60"/>
      <c r="E13" s="162"/>
      <c r="F13" s="47"/>
      <c r="G13" s="48"/>
      <c r="H13" s="48"/>
    </row>
    <row r="14" spans="1:8" ht="17.25">
      <c r="A14" s="35" t="s">
        <v>8</v>
      </c>
      <c r="B14" s="61"/>
      <c r="E14" s="160" t="s">
        <v>22</v>
      </c>
      <c r="F14" s="49" t="s">
        <v>208</v>
      </c>
      <c r="G14" s="50" t="s">
        <v>209</v>
      </c>
      <c r="H14" s="64"/>
    </row>
    <row r="15" spans="1:8" ht="18" customHeight="1">
      <c r="A15" s="38"/>
      <c r="B15" s="37"/>
      <c r="E15" s="161"/>
      <c r="F15" s="49" t="s">
        <v>210</v>
      </c>
      <c r="G15" s="50" t="s">
        <v>207</v>
      </c>
      <c r="H15" s="64"/>
    </row>
    <row r="16" spans="1:8" ht="34.5">
      <c r="A16" s="35" t="s">
        <v>7</v>
      </c>
      <c r="B16" s="36"/>
      <c r="E16" s="161"/>
      <c r="F16" s="49" t="s">
        <v>211</v>
      </c>
      <c r="G16" s="50" t="s">
        <v>207</v>
      </c>
      <c r="H16" s="64"/>
    </row>
    <row r="17" spans="1:8" ht="69">
      <c r="A17" s="35" t="s">
        <v>8</v>
      </c>
      <c r="B17" s="61"/>
      <c r="E17" s="161"/>
      <c r="F17" s="49" t="s">
        <v>212</v>
      </c>
      <c r="G17" s="50" t="s">
        <v>213</v>
      </c>
      <c r="H17" s="64"/>
    </row>
    <row r="18" spans="1:8" ht="17.25">
      <c r="A18" s="37"/>
      <c r="B18" s="37"/>
      <c r="E18" s="161"/>
      <c r="F18" s="49"/>
      <c r="G18" s="50"/>
      <c r="H18" s="64"/>
    </row>
    <row r="19" spans="1:8" ht="17.25">
      <c r="A19" s="35" t="s">
        <v>7</v>
      </c>
      <c r="B19" s="36"/>
      <c r="E19" s="161"/>
      <c r="F19" s="49"/>
      <c r="G19" s="50"/>
      <c r="H19" s="64"/>
    </row>
    <row r="20" spans="1:8" ht="16.5" customHeight="1">
      <c r="A20" s="35" t="s">
        <v>8</v>
      </c>
      <c r="B20" s="36"/>
      <c r="E20" s="161"/>
      <c r="F20" s="51"/>
      <c r="G20" s="51"/>
      <c r="H20" s="66"/>
    </row>
    <row r="21" spans="1:8" ht="16.5" customHeight="1">
      <c r="A21" s="37"/>
      <c r="B21" s="37"/>
      <c r="E21" s="161"/>
      <c r="F21" s="51"/>
      <c r="G21" s="51"/>
      <c r="H21" s="66"/>
    </row>
    <row r="22" spans="1:8" ht="16.5" customHeight="1">
      <c r="A22" s="35" t="s">
        <v>7</v>
      </c>
      <c r="B22" s="36"/>
      <c r="E22" s="161"/>
      <c r="F22" s="51"/>
      <c r="G22" s="51"/>
      <c r="H22" s="66"/>
    </row>
    <row r="23" spans="1:8" ht="16.5" customHeight="1">
      <c r="A23" s="35" t="s">
        <v>8</v>
      </c>
      <c r="B23" s="36"/>
      <c r="E23" s="162"/>
      <c r="F23" s="51"/>
      <c r="G23" s="51"/>
      <c r="H23" s="66"/>
    </row>
    <row r="24" spans="1:8" ht="16.5" customHeight="1">
      <c r="A24" s="37"/>
      <c r="B24" s="37"/>
    </row>
    <row r="25" spans="1:8" ht="16.5">
      <c r="A25" s="35" t="s">
        <v>7</v>
      </c>
      <c r="B25" s="36"/>
    </row>
    <row r="26" spans="1:8" ht="16.5">
      <c r="A26" s="35" t="s">
        <v>8</v>
      </c>
      <c r="B26" s="36"/>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37"/>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37"/>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37"/>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row r="63" spans="1:2" ht="16.5">
      <c r="A63" s="37"/>
      <c r="B63" s="53"/>
    </row>
  </sheetData>
  <sheetProtection algorithmName="SHA-512" hashValue="9axC75JQC2JyY/O1KnNKElbcglxnu05pAUcP7GaTldCWbtnQa04Sf0tHP0ysLBu4Fa1u6pwXW+56iJ2APhZY/A==" saltValue="XmPMS/9RVsIGhjPrWjx8nQ=="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62"/>
  <sheetViews>
    <sheetView workbookViewId="0">
      <selection activeCell="G17" sqref="G17"/>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60" t="s">
        <v>217</v>
      </c>
      <c r="E1" s="39" t="s">
        <v>16</v>
      </c>
      <c r="F1" s="39" t="s">
        <v>229</v>
      </c>
      <c r="G1" s="40" t="s">
        <v>230</v>
      </c>
      <c r="H1" s="41"/>
    </row>
    <row r="2" spans="1:8" ht="17.25">
      <c r="A2" s="35" t="s">
        <v>8</v>
      </c>
      <c r="B2" s="36" t="s">
        <v>218</v>
      </c>
      <c r="E2" s="39" t="s">
        <v>17</v>
      </c>
      <c r="F2" s="39" t="s">
        <v>29</v>
      </c>
      <c r="G2" s="42"/>
      <c r="H2" s="43"/>
    </row>
    <row r="3" spans="1:8" ht="16.5">
      <c r="A3" s="37"/>
      <c r="B3" s="37"/>
      <c r="E3" s="44" t="s">
        <v>18</v>
      </c>
      <c r="F3" s="45" t="s">
        <v>19</v>
      </c>
      <c r="G3" s="46" t="s">
        <v>20</v>
      </c>
      <c r="H3" s="46" t="s">
        <v>24</v>
      </c>
    </row>
    <row r="4" spans="1:8" ht="51.75">
      <c r="A4" s="35" t="s">
        <v>7</v>
      </c>
      <c r="B4" s="63" t="s">
        <v>219</v>
      </c>
      <c r="E4" s="160" t="s">
        <v>21</v>
      </c>
      <c r="F4" s="47" t="s">
        <v>231</v>
      </c>
      <c r="G4" s="48" t="s">
        <v>232</v>
      </c>
      <c r="H4" s="48"/>
    </row>
    <row r="5" spans="1:8" ht="69">
      <c r="A5" s="35" t="s">
        <v>8</v>
      </c>
      <c r="B5" s="61" t="s">
        <v>220</v>
      </c>
      <c r="E5" s="161"/>
      <c r="F5" s="47" t="s">
        <v>233</v>
      </c>
      <c r="G5" s="48" t="s">
        <v>234</v>
      </c>
      <c r="H5" s="48"/>
    </row>
    <row r="6" spans="1:8" ht="69">
      <c r="A6" s="37"/>
      <c r="B6" s="37"/>
      <c r="E6" s="161"/>
      <c r="F6" s="47" t="s">
        <v>235</v>
      </c>
      <c r="G6" s="48" t="s">
        <v>236</v>
      </c>
      <c r="H6" s="48"/>
    </row>
    <row r="7" spans="1:8" ht="69">
      <c r="A7" s="35" t="s">
        <v>7</v>
      </c>
      <c r="B7" s="63" t="s">
        <v>125</v>
      </c>
      <c r="E7" s="161"/>
      <c r="F7" s="47" t="s">
        <v>237</v>
      </c>
      <c r="G7" s="48" t="s">
        <v>238</v>
      </c>
      <c r="H7" s="48"/>
    </row>
    <row r="8" spans="1:8" ht="313.5">
      <c r="A8" s="35" t="s">
        <v>8</v>
      </c>
      <c r="B8" s="61" t="s">
        <v>221</v>
      </c>
      <c r="E8" s="161"/>
      <c r="F8" s="47"/>
      <c r="G8" s="48"/>
      <c r="H8" s="48"/>
    </row>
    <row r="9" spans="1:8" ht="17.25">
      <c r="A9" s="37"/>
      <c r="B9" s="53"/>
      <c r="E9" s="161"/>
      <c r="F9" s="47"/>
      <c r="G9" s="48"/>
      <c r="H9" s="48"/>
    </row>
    <row r="10" spans="1:8" ht="17.25">
      <c r="A10" s="35" t="s">
        <v>7</v>
      </c>
      <c r="B10" s="60" t="s">
        <v>121</v>
      </c>
      <c r="E10" s="161"/>
      <c r="F10" s="47"/>
      <c r="G10" s="48"/>
      <c r="H10" s="48"/>
    </row>
    <row r="11" spans="1:8" ht="17.25">
      <c r="A11" s="35" t="s">
        <v>8</v>
      </c>
      <c r="B11" s="36" t="s">
        <v>222</v>
      </c>
      <c r="E11" s="161"/>
      <c r="F11" s="47"/>
      <c r="G11" s="48"/>
      <c r="H11" s="48"/>
    </row>
    <row r="12" spans="1:8" ht="17.25">
      <c r="A12" s="37"/>
      <c r="B12" s="53"/>
      <c r="E12" s="161"/>
      <c r="F12" s="47"/>
      <c r="G12" s="48"/>
      <c r="H12" s="48"/>
    </row>
    <row r="13" spans="1:8" ht="17.25">
      <c r="A13" s="35" t="s">
        <v>7</v>
      </c>
      <c r="B13" s="60" t="s">
        <v>127</v>
      </c>
      <c r="E13" s="162"/>
      <c r="F13" s="47"/>
      <c r="G13" s="48"/>
      <c r="H13" s="48"/>
    </row>
    <row r="14" spans="1:8" ht="34.5">
      <c r="A14" s="35" t="s">
        <v>8</v>
      </c>
      <c r="B14" s="36" t="s">
        <v>222</v>
      </c>
      <c r="E14" s="160" t="s">
        <v>22</v>
      </c>
      <c r="F14" s="49" t="s">
        <v>239</v>
      </c>
      <c r="G14" s="50" t="s">
        <v>207</v>
      </c>
      <c r="H14" s="50"/>
    </row>
    <row r="15" spans="1:8" ht="18" customHeight="1">
      <c r="A15" s="37"/>
      <c r="B15" s="53"/>
      <c r="E15" s="161"/>
      <c r="F15" s="49" t="s">
        <v>240</v>
      </c>
      <c r="G15" s="50" t="s">
        <v>241</v>
      </c>
      <c r="H15" s="50"/>
    </row>
    <row r="16" spans="1:8" ht="17.25">
      <c r="A16" s="35" t="s">
        <v>7</v>
      </c>
      <c r="B16" s="60" t="s">
        <v>223</v>
      </c>
      <c r="E16" s="161"/>
      <c r="F16" s="49" t="s">
        <v>242</v>
      </c>
      <c r="G16" s="50" t="s">
        <v>243</v>
      </c>
      <c r="H16" s="50"/>
    </row>
    <row r="17" spans="1:8" ht="313.5">
      <c r="A17" s="35" t="s">
        <v>8</v>
      </c>
      <c r="B17" s="61" t="s">
        <v>224</v>
      </c>
      <c r="E17" s="161"/>
      <c r="F17" s="49" t="s">
        <v>244</v>
      </c>
      <c r="G17" s="50" t="s">
        <v>245</v>
      </c>
      <c r="H17" s="50"/>
    </row>
    <row r="18" spans="1:8" ht="34.5">
      <c r="A18" s="37"/>
      <c r="B18" s="53"/>
      <c r="E18" s="161"/>
      <c r="F18" s="49" t="s">
        <v>246</v>
      </c>
      <c r="G18" s="50" t="s">
        <v>247</v>
      </c>
      <c r="H18" s="50"/>
    </row>
    <row r="19" spans="1:8" ht="103.5">
      <c r="A19" s="35" t="s">
        <v>7</v>
      </c>
      <c r="B19" s="60" t="s">
        <v>225</v>
      </c>
      <c r="E19" s="161"/>
      <c r="F19" s="49" t="s">
        <v>248</v>
      </c>
      <c r="G19" s="50" t="s">
        <v>52</v>
      </c>
      <c r="H19" s="50"/>
    </row>
    <row r="20" spans="1:8" ht="17.25" customHeight="1">
      <c r="A20" s="35" t="s">
        <v>8</v>
      </c>
      <c r="B20" s="61" t="s">
        <v>226</v>
      </c>
      <c r="E20" s="161"/>
      <c r="F20" s="51"/>
      <c r="G20" s="51"/>
      <c r="H20" s="51"/>
    </row>
    <row r="21" spans="1:8" ht="16.5" customHeight="1">
      <c r="A21" s="37"/>
      <c r="B21" s="53"/>
      <c r="E21" s="161"/>
      <c r="F21" s="51"/>
      <c r="G21" s="51"/>
      <c r="H21" s="51"/>
    </row>
    <row r="22" spans="1:8" ht="16.5" customHeight="1">
      <c r="A22" s="35" t="s">
        <v>7</v>
      </c>
      <c r="B22" s="60" t="s">
        <v>227</v>
      </c>
      <c r="E22" s="161"/>
      <c r="F22" s="51"/>
      <c r="G22" s="51"/>
      <c r="H22" s="51"/>
    </row>
    <row r="23" spans="1:8" ht="16.5" customHeight="1">
      <c r="A23" s="35" t="s">
        <v>8</v>
      </c>
      <c r="B23" s="36" t="s">
        <v>228</v>
      </c>
      <c r="E23" s="162"/>
      <c r="F23" s="51"/>
      <c r="G23" s="51"/>
      <c r="H23" s="51"/>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sheetData>
  <sheetProtection algorithmName="SHA-512" hashValue="aRbNViEaSJiw1+Hlvbo0H7sLrINLyg0VWD3/c2Qv2ACnGi9eCdYzsMXCnEl9Z96WNxV4HCFQvfbyEnnRCYp9fQ==" saltValue="AUlakz/5qgtCrm5BjMca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62"/>
  <sheetViews>
    <sheetView workbookViewId="0">
      <selection activeCell="F11" sqref="F11"/>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60" t="s">
        <v>249</v>
      </c>
      <c r="E1" s="58" t="s">
        <v>16</v>
      </c>
      <c r="F1" s="39" t="s">
        <v>30</v>
      </c>
      <c r="G1" s="40" t="s">
        <v>251</v>
      </c>
      <c r="H1" s="41"/>
    </row>
    <row r="2" spans="1:8" ht="66">
      <c r="A2" s="35" t="s">
        <v>8</v>
      </c>
      <c r="B2" s="61" t="s">
        <v>250</v>
      </c>
      <c r="E2" s="58" t="s">
        <v>17</v>
      </c>
      <c r="F2" s="39" t="s">
        <v>29</v>
      </c>
      <c r="G2" s="62"/>
      <c r="H2" s="43"/>
    </row>
    <row r="3" spans="1:8" ht="16.5">
      <c r="A3" s="37"/>
      <c r="B3" s="37"/>
      <c r="E3" s="59" t="s">
        <v>18</v>
      </c>
      <c r="F3" s="45" t="s">
        <v>19</v>
      </c>
      <c r="G3" s="46" t="s">
        <v>20</v>
      </c>
      <c r="H3" s="46" t="s">
        <v>24</v>
      </c>
    </row>
    <row r="4" spans="1:8" ht="69">
      <c r="A4" s="35" t="s">
        <v>7</v>
      </c>
      <c r="B4" s="60" t="s">
        <v>121</v>
      </c>
      <c r="E4" s="163" t="s">
        <v>21</v>
      </c>
      <c r="F4" s="47" t="s">
        <v>252</v>
      </c>
      <c r="G4" s="48" t="s">
        <v>253</v>
      </c>
      <c r="H4" s="54"/>
    </row>
    <row r="5" spans="1:8" ht="34.5">
      <c r="A5" s="35" t="s">
        <v>8</v>
      </c>
      <c r="B5" s="36" t="s">
        <v>222</v>
      </c>
      <c r="E5" s="164"/>
      <c r="F5" s="47" t="s">
        <v>254</v>
      </c>
      <c r="G5" s="48" t="s">
        <v>255</v>
      </c>
      <c r="H5" s="54"/>
    </row>
    <row r="6" spans="1:8" ht="17.25">
      <c r="A6" s="37"/>
      <c r="B6" s="37"/>
      <c r="E6" s="164"/>
      <c r="F6" s="47"/>
      <c r="G6" s="48"/>
      <c r="H6" s="54"/>
    </row>
    <row r="7" spans="1:8" ht="17.25">
      <c r="A7" s="35" t="s">
        <v>7</v>
      </c>
      <c r="B7" s="60" t="s">
        <v>127</v>
      </c>
      <c r="E7" s="164"/>
      <c r="F7" s="47"/>
      <c r="G7" s="48"/>
      <c r="H7" s="54"/>
    </row>
    <row r="8" spans="1:8" ht="17.25">
      <c r="A8" s="35" t="s">
        <v>8</v>
      </c>
      <c r="B8" s="36" t="s">
        <v>222</v>
      </c>
      <c r="E8" s="164"/>
      <c r="F8" s="47"/>
      <c r="G8" s="48"/>
      <c r="H8" s="54"/>
    </row>
    <row r="9" spans="1:8" ht="17.25">
      <c r="A9" s="37"/>
      <c r="B9" s="53"/>
      <c r="E9" s="164"/>
      <c r="F9" s="47"/>
      <c r="G9" s="48"/>
      <c r="H9" s="54"/>
    </row>
    <row r="10" spans="1:8" ht="17.25">
      <c r="A10" s="35" t="s">
        <v>7</v>
      </c>
      <c r="B10" s="60" t="s">
        <v>223</v>
      </c>
      <c r="E10" s="164"/>
      <c r="F10" s="47"/>
      <c r="G10" s="48"/>
      <c r="H10" s="54"/>
    </row>
    <row r="11" spans="1:8" ht="313.5">
      <c r="A11" s="35" t="s">
        <v>8</v>
      </c>
      <c r="B11" s="61" t="s">
        <v>224</v>
      </c>
      <c r="E11" s="164"/>
      <c r="F11" s="47"/>
      <c r="G11" s="48"/>
      <c r="H11" s="54"/>
    </row>
    <row r="12" spans="1:8" ht="17.25">
      <c r="A12" s="37"/>
      <c r="B12" s="53"/>
      <c r="E12" s="164"/>
      <c r="F12" s="47"/>
      <c r="G12" s="48"/>
      <c r="H12" s="54"/>
    </row>
    <row r="13" spans="1:8" ht="17.25">
      <c r="A13" s="35" t="s">
        <v>7</v>
      </c>
      <c r="B13" s="60" t="s">
        <v>225</v>
      </c>
      <c r="E13" s="165"/>
      <c r="F13" s="47"/>
      <c r="G13" s="48"/>
      <c r="H13" s="54"/>
    </row>
    <row r="14" spans="1:8" ht="231">
      <c r="A14" s="35" t="s">
        <v>8</v>
      </c>
      <c r="B14" s="61" t="s">
        <v>226</v>
      </c>
      <c r="E14" s="163" t="s">
        <v>22</v>
      </c>
      <c r="F14" s="49" t="s">
        <v>256</v>
      </c>
      <c r="G14" s="50" t="s">
        <v>257</v>
      </c>
      <c r="H14" s="55"/>
    </row>
    <row r="15" spans="1:8" ht="18" customHeight="1">
      <c r="A15" s="37"/>
      <c r="B15" s="53"/>
      <c r="E15" s="164"/>
      <c r="F15" s="49" t="s">
        <v>258</v>
      </c>
      <c r="G15" s="50" t="s">
        <v>259</v>
      </c>
      <c r="H15" s="55"/>
    </row>
    <row r="16" spans="1:8" ht="34.5">
      <c r="A16" s="35" t="s">
        <v>7</v>
      </c>
      <c r="B16" s="52"/>
      <c r="E16" s="164"/>
      <c r="F16" s="49" t="s">
        <v>260</v>
      </c>
      <c r="G16" s="50" t="s">
        <v>261</v>
      </c>
      <c r="H16" s="55"/>
    </row>
    <row r="17" spans="1:8" ht="34.5">
      <c r="A17" s="35" t="s">
        <v>8</v>
      </c>
      <c r="B17" s="52"/>
      <c r="E17" s="164"/>
      <c r="F17" s="49" t="s">
        <v>262</v>
      </c>
      <c r="G17" s="50" t="s">
        <v>263</v>
      </c>
      <c r="H17" s="55"/>
    </row>
    <row r="18" spans="1:8" ht="103.5">
      <c r="A18" s="37"/>
      <c r="B18" s="53"/>
      <c r="E18" s="164"/>
      <c r="F18" s="49" t="s">
        <v>264</v>
      </c>
      <c r="G18" s="50" t="s">
        <v>52</v>
      </c>
      <c r="H18" s="55"/>
    </row>
    <row r="19" spans="1:8" ht="17.25">
      <c r="A19" s="35" t="s">
        <v>7</v>
      </c>
      <c r="B19" s="52"/>
      <c r="E19" s="164"/>
      <c r="F19" s="55"/>
      <c r="G19" s="55"/>
      <c r="H19" s="55"/>
    </row>
    <row r="20" spans="1:8" ht="17.25" customHeight="1">
      <c r="A20" s="35" t="s">
        <v>8</v>
      </c>
      <c r="B20" s="52"/>
      <c r="E20" s="164"/>
      <c r="F20" s="56"/>
      <c r="G20" s="56"/>
      <c r="H20" s="56"/>
    </row>
    <row r="21" spans="1:8" ht="16.5" customHeight="1">
      <c r="A21" s="37"/>
      <c r="B21" s="53"/>
      <c r="E21" s="164"/>
      <c r="F21" s="56"/>
      <c r="G21" s="56"/>
      <c r="H21" s="56"/>
    </row>
    <row r="22" spans="1:8" ht="16.5" customHeight="1">
      <c r="A22" s="35" t="s">
        <v>7</v>
      </c>
      <c r="B22" s="52"/>
      <c r="E22" s="164"/>
      <c r="F22" s="56"/>
      <c r="G22" s="56"/>
      <c r="H22" s="56"/>
    </row>
    <row r="23" spans="1:8" ht="16.5" customHeight="1">
      <c r="A23" s="35" t="s">
        <v>8</v>
      </c>
      <c r="B23" s="52"/>
      <c r="E23" s="165"/>
      <c r="F23" s="56"/>
      <c r="G23" s="56"/>
      <c r="H23" s="56"/>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sheetData>
  <sheetProtection algorithmName="SHA-512" hashValue="yfEBIe6s7iggydGpEuKWoplSyf5q25nydiYuYpMIPHrKbZTu6NB8cn2zX/Gc9GptoJAmFXSZ3WVhxSqUQCStJA==" saltValue="a5H7DVW1j3IF7X9mUk2gNg=="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2"/>
  <sheetViews>
    <sheetView workbookViewId="0">
      <selection activeCell="F11" sqref="F11"/>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34.5">
      <c r="A1" s="4" t="s">
        <v>7</v>
      </c>
      <c r="B1" s="60" t="s">
        <v>265</v>
      </c>
      <c r="E1" s="11" t="s">
        <v>16</v>
      </c>
      <c r="F1" s="39" t="s">
        <v>30</v>
      </c>
      <c r="G1" s="40" t="s">
        <v>269</v>
      </c>
      <c r="H1" s="41"/>
    </row>
    <row r="2" spans="1:8" ht="33">
      <c r="A2" s="4" t="s">
        <v>8</v>
      </c>
      <c r="B2" s="61" t="s">
        <v>266</v>
      </c>
      <c r="E2" s="11" t="s">
        <v>17</v>
      </c>
      <c r="F2" s="39" t="s">
        <v>29</v>
      </c>
      <c r="G2" s="42"/>
      <c r="H2" s="43"/>
    </row>
    <row r="3" spans="1:8" ht="16.5">
      <c r="A3" s="6"/>
      <c r="B3" s="37"/>
      <c r="E3" s="12" t="s">
        <v>18</v>
      </c>
      <c r="F3" s="45" t="s">
        <v>19</v>
      </c>
      <c r="G3" s="46" t="s">
        <v>20</v>
      </c>
      <c r="H3" s="46" t="s">
        <v>24</v>
      </c>
    </row>
    <row r="4" spans="1:8" ht="69">
      <c r="A4" s="4" t="s">
        <v>7</v>
      </c>
      <c r="B4" s="60" t="s">
        <v>121</v>
      </c>
      <c r="E4" s="166" t="s">
        <v>21</v>
      </c>
      <c r="F4" s="47" t="s">
        <v>252</v>
      </c>
      <c r="G4" s="48" t="s">
        <v>270</v>
      </c>
      <c r="H4" s="54"/>
    </row>
    <row r="5" spans="1:8" ht="17.25">
      <c r="A5" s="4" t="s">
        <v>8</v>
      </c>
      <c r="B5" s="36" t="s">
        <v>222</v>
      </c>
      <c r="E5" s="167"/>
      <c r="F5" s="47"/>
      <c r="G5" s="48"/>
      <c r="H5" s="54"/>
    </row>
    <row r="6" spans="1:8" ht="17.25">
      <c r="A6" s="6"/>
      <c r="B6" s="37"/>
      <c r="E6" s="167"/>
      <c r="F6" s="47"/>
      <c r="G6" s="48"/>
      <c r="H6" s="54"/>
    </row>
    <row r="7" spans="1:8" ht="17.25">
      <c r="A7" s="4" t="s">
        <v>7</v>
      </c>
      <c r="B7" s="60" t="s">
        <v>127</v>
      </c>
      <c r="E7" s="167"/>
      <c r="F7" s="47"/>
      <c r="G7" s="48"/>
      <c r="H7" s="54"/>
    </row>
    <row r="8" spans="1:8" ht="17.25">
      <c r="A8" s="4" t="s">
        <v>8</v>
      </c>
      <c r="B8" s="36" t="s">
        <v>222</v>
      </c>
      <c r="E8" s="167"/>
      <c r="F8" s="47"/>
      <c r="G8" s="48"/>
      <c r="H8" s="54"/>
    </row>
    <row r="9" spans="1:8" ht="17.25">
      <c r="A9" s="6"/>
      <c r="B9" s="37"/>
      <c r="E9" s="167"/>
      <c r="F9" s="47"/>
      <c r="G9" s="48"/>
      <c r="H9" s="54"/>
    </row>
    <row r="10" spans="1:8" ht="17.25">
      <c r="A10" s="4" t="s">
        <v>7</v>
      </c>
      <c r="B10" s="60" t="s">
        <v>223</v>
      </c>
      <c r="E10" s="167"/>
      <c r="F10" s="47"/>
      <c r="G10" s="48"/>
      <c r="H10" s="54"/>
    </row>
    <row r="11" spans="1:8" ht="313.5">
      <c r="A11" s="4" t="s">
        <v>8</v>
      </c>
      <c r="B11" s="61" t="s">
        <v>224</v>
      </c>
      <c r="E11" s="167"/>
      <c r="F11" s="47"/>
      <c r="G11" s="48"/>
      <c r="H11" s="54"/>
    </row>
    <row r="12" spans="1:8" ht="17.25">
      <c r="A12" s="6"/>
      <c r="B12" s="37"/>
      <c r="E12" s="167"/>
      <c r="F12" s="47"/>
      <c r="G12" s="48"/>
      <c r="H12" s="54"/>
    </row>
    <row r="13" spans="1:8" ht="17.25">
      <c r="A13" s="4" t="s">
        <v>7</v>
      </c>
      <c r="B13" s="60" t="s">
        <v>225</v>
      </c>
      <c r="E13" s="168"/>
      <c r="F13" s="47"/>
      <c r="G13" s="48"/>
      <c r="H13" s="54"/>
    </row>
    <row r="14" spans="1:8" ht="231">
      <c r="A14" s="4" t="s">
        <v>8</v>
      </c>
      <c r="B14" s="61" t="s">
        <v>226</v>
      </c>
      <c r="E14" s="166" t="s">
        <v>22</v>
      </c>
      <c r="F14" s="49" t="s">
        <v>256</v>
      </c>
      <c r="G14" s="50" t="s">
        <v>257</v>
      </c>
      <c r="H14" s="55"/>
    </row>
    <row r="15" spans="1:8" ht="18" customHeight="1">
      <c r="A15" s="6"/>
      <c r="B15" s="37"/>
      <c r="E15" s="167"/>
      <c r="F15" s="49" t="s">
        <v>258</v>
      </c>
      <c r="G15" s="50" t="s">
        <v>259</v>
      </c>
      <c r="H15" s="55"/>
    </row>
    <row r="16" spans="1:8" ht="34.5">
      <c r="A16" s="4" t="s">
        <v>7</v>
      </c>
      <c r="B16" s="36" t="s">
        <v>267</v>
      </c>
      <c r="E16" s="167"/>
      <c r="F16" s="49" t="s">
        <v>260</v>
      </c>
      <c r="G16" s="50" t="s">
        <v>261</v>
      </c>
      <c r="H16" s="55"/>
    </row>
    <row r="17" spans="1:8" ht="82.5">
      <c r="A17" s="4" t="s">
        <v>8</v>
      </c>
      <c r="B17" s="61" t="s">
        <v>268</v>
      </c>
      <c r="E17" s="167"/>
      <c r="F17" s="49" t="s">
        <v>262</v>
      </c>
      <c r="G17" s="50" t="s">
        <v>263</v>
      </c>
      <c r="H17" s="55"/>
    </row>
    <row r="18" spans="1:8" ht="17.25">
      <c r="A18" s="6"/>
      <c r="B18" s="53"/>
      <c r="E18" s="167"/>
      <c r="F18" s="49" t="s">
        <v>271</v>
      </c>
      <c r="G18" s="50" t="s">
        <v>272</v>
      </c>
      <c r="H18" s="55"/>
    </row>
    <row r="19" spans="1:8" ht="163.5">
      <c r="A19" s="4" t="s">
        <v>7</v>
      </c>
      <c r="B19" s="52"/>
      <c r="E19" s="167"/>
      <c r="F19" s="49" t="s">
        <v>273</v>
      </c>
      <c r="G19" s="65" t="s">
        <v>274</v>
      </c>
      <c r="H19" s="55"/>
    </row>
    <row r="20" spans="1:8" ht="17.25" customHeight="1">
      <c r="A20" s="4" t="s">
        <v>8</v>
      </c>
      <c r="B20" s="52"/>
      <c r="E20" s="167"/>
      <c r="F20" s="66" t="s">
        <v>275</v>
      </c>
      <c r="G20" s="67" t="s">
        <v>276</v>
      </c>
      <c r="H20" s="57"/>
    </row>
    <row r="21" spans="1:8" ht="16.5" customHeight="1">
      <c r="A21" s="6"/>
      <c r="B21" s="53"/>
      <c r="E21" s="167"/>
      <c r="F21" s="49" t="s">
        <v>277</v>
      </c>
      <c r="G21" s="50" t="s">
        <v>278</v>
      </c>
      <c r="H21" s="57"/>
    </row>
    <row r="22" spans="1:8" ht="16.5" customHeight="1">
      <c r="A22" s="4" t="s">
        <v>7</v>
      </c>
      <c r="B22" s="52"/>
      <c r="E22" s="167"/>
      <c r="F22" s="66"/>
      <c r="G22" s="66"/>
      <c r="H22" s="57"/>
    </row>
    <row r="23" spans="1:8" ht="16.5" customHeight="1">
      <c r="A23" s="4" t="s">
        <v>8</v>
      </c>
      <c r="B23" s="52"/>
      <c r="E23" s="168"/>
      <c r="F23" s="51"/>
      <c r="G23" s="51"/>
      <c r="H23" s="57"/>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fuzDxbvolwbXIQW8oLy+SA79moOpZpH+8Jbe1RlgREWqWxi4mkxHun3AL68+HNdJl7qjUDCLrHEs3NycYnAQww==" saltValue="a2Vy92qq6UdH+YQW8E3Bmg=="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62"/>
  <sheetViews>
    <sheetView topLeftCell="A40" workbookViewId="0">
      <selection activeCell="B14" sqref="B14"/>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55</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35</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36</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58</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72</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4" t="s">
        <v>7</v>
      </c>
      <c r="B1" s="52"/>
      <c r="E1" s="11" t="s">
        <v>16</v>
      </c>
      <c r="F1" s="39" t="s">
        <v>56</v>
      </c>
      <c r="G1" s="40" t="s">
        <v>71</v>
      </c>
      <c r="H1" s="41"/>
    </row>
    <row r="2" spans="1:8" ht="17.25">
      <c r="A2" s="4" t="s">
        <v>8</v>
      </c>
      <c r="B2" s="52"/>
      <c r="E2" s="11" t="s">
        <v>17</v>
      </c>
      <c r="F2" s="39" t="s">
        <v>51</v>
      </c>
      <c r="G2" s="42"/>
      <c r="H2" s="43"/>
    </row>
    <row r="3" spans="1:8" ht="16.5">
      <c r="A3" s="6"/>
      <c r="B3" s="53"/>
      <c r="E3" s="12" t="s">
        <v>18</v>
      </c>
      <c r="F3" s="45" t="s">
        <v>19</v>
      </c>
      <c r="G3" s="46" t="s">
        <v>20</v>
      </c>
      <c r="H3" s="46" t="s">
        <v>24</v>
      </c>
    </row>
    <row r="4" spans="1:8" ht="17.25">
      <c r="A4" s="4" t="s">
        <v>7</v>
      </c>
      <c r="B4" s="52"/>
      <c r="E4" s="166" t="s">
        <v>21</v>
      </c>
      <c r="F4" s="54"/>
      <c r="G4" s="54"/>
      <c r="H4" s="54"/>
    </row>
    <row r="5" spans="1:8" ht="17.25">
      <c r="A5" s="4" t="s">
        <v>8</v>
      </c>
      <c r="B5" s="52"/>
      <c r="E5" s="167"/>
      <c r="F5" s="54"/>
      <c r="G5" s="54"/>
      <c r="H5" s="54"/>
    </row>
    <row r="6" spans="1:8" ht="17.25">
      <c r="A6" s="6"/>
      <c r="B6" s="53"/>
      <c r="E6" s="167"/>
      <c r="F6" s="54"/>
      <c r="G6" s="54"/>
      <c r="H6" s="54"/>
    </row>
    <row r="7" spans="1:8" ht="17.25">
      <c r="A7" s="4" t="s">
        <v>7</v>
      </c>
      <c r="B7" s="52"/>
      <c r="E7" s="167"/>
      <c r="F7" s="54"/>
      <c r="G7" s="54"/>
      <c r="H7" s="54"/>
    </row>
    <row r="8" spans="1:8" ht="17.25">
      <c r="A8" s="4" t="s">
        <v>8</v>
      </c>
      <c r="B8" s="52"/>
      <c r="E8" s="167"/>
      <c r="F8" s="54"/>
      <c r="G8" s="54"/>
      <c r="H8" s="54"/>
    </row>
    <row r="9" spans="1:8" ht="17.25">
      <c r="A9" s="6"/>
      <c r="B9" s="53"/>
      <c r="E9" s="167"/>
      <c r="F9" s="54"/>
      <c r="G9" s="54"/>
      <c r="H9" s="54"/>
    </row>
    <row r="10" spans="1:8" ht="17.25">
      <c r="A10" s="4" t="s">
        <v>7</v>
      </c>
      <c r="B10" s="52"/>
      <c r="E10" s="167"/>
      <c r="F10" s="54"/>
      <c r="G10" s="54"/>
      <c r="H10" s="54"/>
    </row>
    <row r="11" spans="1:8" ht="17.25">
      <c r="A11" s="4" t="s">
        <v>8</v>
      </c>
      <c r="B11" s="52"/>
      <c r="E11" s="167"/>
      <c r="F11" s="54"/>
      <c r="G11" s="54"/>
      <c r="H11" s="54"/>
    </row>
    <row r="12" spans="1:8" ht="17.25">
      <c r="A12" s="6"/>
      <c r="B12" s="53"/>
      <c r="E12" s="167"/>
      <c r="F12" s="54"/>
      <c r="G12" s="54"/>
      <c r="H12" s="54"/>
    </row>
    <row r="13" spans="1:8" ht="17.25">
      <c r="A13" s="4" t="s">
        <v>7</v>
      </c>
      <c r="B13" s="52"/>
      <c r="E13" s="168"/>
      <c r="F13" s="54"/>
      <c r="G13" s="54"/>
      <c r="H13" s="54"/>
    </row>
    <row r="14" spans="1:8" ht="17.25">
      <c r="A14" s="4" t="s">
        <v>8</v>
      </c>
      <c r="B14" s="52"/>
      <c r="E14" s="166" t="s">
        <v>22</v>
      </c>
      <c r="F14" s="55"/>
      <c r="G14" s="55"/>
      <c r="H14" s="55"/>
    </row>
    <row r="15" spans="1:8" ht="18" customHeight="1">
      <c r="A15" s="6"/>
      <c r="B15" s="53"/>
      <c r="E15" s="167"/>
      <c r="F15" s="55"/>
      <c r="G15" s="55"/>
      <c r="H15" s="55"/>
    </row>
    <row r="16" spans="1:8" ht="17.25">
      <c r="A16" s="4" t="s">
        <v>7</v>
      </c>
      <c r="B16" s="52"/>
      <c r="E16" s="167"/>
      <c r="F16" s="55"/>
      <c r="G16" s="55"/>
      <c r="H16" s="55"/>
    </row>
    <row r="17" spans="1:8" ht="17.25">
      <c r="A17" s="4" t="s">
        <v>8</v>
      </c>
      <c r="B17" s="52"/>
      <c r="E17" s="167"/>
      <c r="F17" s="55"/>
      <c r="G17" s="55"/>
      <c r="H17" s="55"/>
    </row>
    <row r="18" spans="1:8" ht="17.25">
      <c r="A18" s="6"/>
      <c r="B18" s="53"/>
      <c r="E18" s="167"/>
      <c r="F18" s="55"/>
      <c r="G18" s="55"/>
      <c r="H18" s="55"/>
    </row>
    <row r="19" spans="1:8" ht="17.25">
      <c r="A19" s="4" t="s">
        <v>7</v>
      </c>
      <c r="B19" s="52"/>
      <c r="E19" s="167"/>
      <c r="F19" s="55"/>
      <c r="G19" s="55"/>
      <c r="H19" s="55"/>
    </row>
    <row r="20" spans="1:8" ht="17.25" customHeight="1">
      <c r="A20" s="4" t="s">
        <v>8</v>
      </c>
      <c r="B20" s="52"/>
      <c r="E20" s="167"/>
      <c r="F20" s="56"/>
      <c r="G20" s="56"/>
      <c r="H20" s="56"/>
    </row>
    <row r="21" spans="1:8" ht="16.5" customHeight="1">
      <c r="A21" s="6"/>
      <c r="B21" s="53"/>
      <c r="E21" s="167"/>
      <c r="F21" s="56"/>
      <c r="G21" s="56"/>
      <c r="H21" s="56"/>
    </row>
    <row r="22" spans="1:8" ht="16.5" customHeight="1">
      <c r="A22" s="4" t="s">
        <v>7</v>
      </c>
      <c r="B22" s="52"/>
      <c r="E22" s="167"/>
      <c r="F22" s="56"/>
      <c r="G22" s="56"/>
      <c r="H22" s="56"/>
    </row>
    <row r="23" spans="1:8" ht="16.5" customHeight="1">
      <c r="A23" s="4" t="s">
        <v>8</v>
      </c>
      <c r="B23" s="52"/>
      <c r="E23" s="168"/>
      <c r="F23" s="56"/>
      <c r="G23" s="56"/>
      <c r="H23" s="56"/>
    </row>
    <row r="24" spans="1:8" ht="16.5" customHeight="1">
      <c r="A24" s="6"/>
      <c r="B24" s="53"/>
    </row>
    <row r="25" spans="1:8" ht="16.5">
      <c r="A25" s="4" t="s">
        <v>7</v>
      </c>
      <c r="B25" s="52"/>
    </row>
    <row r="26" spans="1:8" ht="16.5">
      <c r="A26" s="4" t="s">
        <v>8</v>
      </c>
      <c r="B26" s="52"/>
    </row>
    <row r="27" spans="1:8" ht="16.5">
      <c r="A27" s="6"/>
      <c r="B27" s="53"/>
    </row>
    <row r="28" spans="1:8" ht="16.5">
      <c r="A28" s="4" t="s">
        <v>7</v>
      </c>
      <c r="B28" s="52"/>
    </row>
    <row r="29" spans="1:8" ht="16.5">
      <c r="A29" s="4" t="s">
        <v>8</v>
      </c>
      <c r="B29" s="52"/>
    </row>
    <row r="30" spans="1:8" ht="16.5">
      <c r="A30" s="6"/>
      <c r="B30" s="53"/>
    </row>
    <row r="31" spans="1:8" ht="16.5">
      <c r="A31" s="4" t="s">
        <v>7</v>
      </c>
      <c r="B31" s="52"/>
    </row>
    <row r="32" spans="1:8" ht="16.5">
      <c r="A32" s="4" t="s">
        <v>8</v>
      </c>
      <c r="B32" s="52"/>
    </row>
    <row r="33" spans="1:2" ht="16.5">
      <c r="A33" s="6"/>
      <c r="B33" s="53"/>
    </row>
    <row r="34" spans="1:2" ht="16.5">
      <c r="A34" s="4" t="s">
        <v>7</v>
      </c>
      <c r="B34" s="52"/>
    </row>
    <row r="35" spans="1:2" ht="16.5">
      <c r="A35" s="4" t="s">
        <v>8</v>
      </c>
      <c r="B35" s="52"/>
    </row>
    <row r="36" spans="1:2" ht="16.5">
      <c r="A36" s="6"/>
      <c r="B36" s="53"/>
    </row>
    <row r="37" spans="1:2" ht="16.5">
      <c r="A37" s="4" t="s">
        <v>7</v>
      </c>
      <c r="B37" s="52"/>
    </row>
    <row r="38" spans="1:2" ht="16.5">
      <c r="A38" s="4" t="s">
        <v>8</v>
      </c>
      <c r="B38" s="52"/>
    </row>
    <row r="39" spans="1:2" ht="16.5">
      <c r="A39" s="6"/>
      <c r="B39" s="53"/>
    </row>
    <row r="40" spans="1:2" ht="16.5">
      <c r="A40" s="4" t="s">
        <v>7</v>
      </c>
      <c r="B40" s="52"/>
    </row>
    <row r="41" spans="1:2" ht="16.5">
      <c r="A41" s="4" t="s">
        <v>8</v>
      </c>
      <c r="B41" s="52"/>
    </row>
    <row r="42" spans="1:2" ht="16.5">
      <c r="A42" s="6"/>
      <c r="B42" s="53"/>
    </row>
    <row r="43" spans="1:2" ht="16.5">
      <c r="A43" s="4" t="s">
        <v>7</v>
      </c>
      <c r="B43" s="52"/>
    </row>
    <row r="44" spans="1:2" ht="16.5">
      <c r="A44" s="4" t="s">
        <v>8</v>
      </c>
      <c r="B44" s="52"/>
    </row>
    <row r="45" spans="1:2" ht="16.5">
      <c r="A45" s="6"/>
      <c r="B45" s="53"/>
    </row>
    <row r="46" spans="1:2" ht="16.5">
      <c r="A46" s="4" t="s">
        <v>7</v>
      </c>
      <c r="B46" s="52"/>
    </row>
    <row r="47" spans="1:2" ht="16.5">
      <c r="A47" s="4" t="s">
        <v>8</v>
      </c>
      <c r="B47" s="52"/>
    </row>
    <row r="48" spans="1:2" ht="16.5">
      <c r="A48" s="6"/>
      <c r="B48" s="53"/>
    </row>
    <row r="49" spans="1:2" ht="16.5">
      <c r="A49" s="4" t="s">
        <v>7</v>
      </c>
      <c r="B49" s="52"/>
    </row>
    <row r="50" spans="1:2" ht="16.5">
      <c r="A50" s="4" t="s">
        <v>8</v>
      </c>
      <c r="B50" s="52"/>
    </row>
    <row r="51" spans="1:2" ht="16.5">
      <c r="A51" s="6"/>
      <c r="B51" s="53"/>
    </row>
    <row r="52" spans="1:2" ht="16.5">
      <c r="A52" s="4" t="s">
        <v>7</v>
      </c>
      <c r="B52" s="52"/>
    </row>
    <row r="53" spans="1:2" ht="16.5">
      <c r="A53" s="4" t="s">
        <v>8</v>
      </c>
      <c r="B53" s="52"/>
    </row>
    <row r="54" spans="1:2" ht="16.5">
      <c r="A54" s="6"/>
      <c r="B54" s="53"/>
    </row>
    <row r="55" spans="1:2" ht="16.5">
      <c r="A55" s="4" t="s">
        <v>7</v>
      </c>
      <c r="B55" s="52"/>
    </row>
    <row r="56" spans="1:2" ht="16.5">
      <c r="A56" s="4" t="s">
        <v>8</v>
      </c>
      <c r="B56" s="52"/>
    </row>
    <row r="57" spans="1:2" ht="16.5">
      <c r="A57" s="6"/>
      <c r="B57" s="53"/>
    </row>
    <row r="58" spans="1:2" ht="16.5">
      <c r="A58" s="4" t="s">
        <v>7</v>
      </c>
      <c r="B58" s="52"/>
    </row>
    <row r="59" spans="1:2" ht="16.5">
      <c r="A59" s="4" t="s">
        <v>8</v>
      </c>
      <c r="B59" s="52"/>
    </row>
    <row r="60" spans="1:2" ht="16.5">
      <c r="A60" s="6"/>
      <c r="B60" s="53"/>
    </row>
    <row r="61" spans="1:2" ht="16.5">
      <c r="A61" s="4" t="s">
        <v>7</v>
      </c>
      <c r="B61" s="52"/>
    </row>
    <row r="62" spans="1:2" ht="16.5">
      <c r="A62" s="4" t="s">
        <v>8</v>
      </c>
      <c r="B62" s="52"/>
    </row>
  </sheetData>
  <sheetProtection algorithmName="SHA-512" hashValue="wWevrvhRBCK/k7klRy73ALDw/jTO0kzlc/QudJQGux429JltMAoOrBxhy8u90OyPVU5BDARwt0lZEnC1FJ7Uiw==" saltValue="0H8wz3ykSOpe2DSdy3Ho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52"/>
      <c r="E1" s="39" t="s">
        <v>16</v>
      </c>
      <c r="F1" s="39" t="s">
        <v>30</v>
      </c>
      <c r="G1" s="40" t="s">
        <v>70</v>
      </c>
      <c r="H1" s="41"/>
    </row>
    <row r="2" spans="1:8" ht="17.25">
      <c r="A2" s="35" t="s">
        <v>8</v>
      </c>
      <c r="B2" s="52"/>
      <c r="E2" s="39" t="s">
        <v>17</v>
      </c>
      <c r="F2" s="39" t="s">
        <v>57</v>
      </c>
      <c r="G2" s="42"/>
      <c r="H2" s="43"/>
    </row>
    <row r="3" spans="1:8" ht="16.5">
      <c r="A3" s="37"/>
      <c r="B3" s="53"/>
      <c r="E3" s="44" t="s">
        <v>18</v>
      </c>
      <c r="F3" s="45" t="s">
        <v>19</v>
      </c>
      <c r="G3" s="46" t="s">
        <v>20</v>
      </c>
      <c r="H3" s="46" t="s">
        <v>24</v>
      </c>
    </row>
    <row r="4" spans="1:8" ht="17.25">
      <c r="A4" s="35" t="s">
        <v>7</v>
      </c>
      <c r="B4" s="52"/>
      <c r="E4" s="160" t="s">
        <v>21</v>
      </c>
      <c r="F4" s="54"/>
      <c r="G4" s="54"/>
      <c r="H4" s="54"/>
    </row>
    <row r="5" spans="1:8" ht="17.25">
      <c r="A5" s="35" t="s">
        <v>8</v>
      </c>
      <c r="B5" s="52"/>
      <c r="E5" s="161"/>
      <c r="F5" s="54"/>
      <c r="G5" s="54"/>
      <c r="H5" s="54"/>
    </row>
    <row r="6" spans="1:8" ht="17.25">
      <c r="A6" s="37"/>
      <c r="B6" s="53"/>
      <c r="E6" s="161"/>
      <c r="F6" s="54"/>
      <c r="G6" s="54"/>
      <c r="H6" s="54"/>
    </row>
    <row r="7" spans="1:8" ht="17.25">
      <c r="A7" s="35" t="s">
        <v>7</v>
      </c>
      <c r="B7" s="52"/>
      <c r="E7" s="161"/>
      <c r="F7" s="54"/>
      <c r="G7" s="54"/>
      <c r="H7" s="54"/>
    </row>
    <row r="8" spans="1:8" ht="17.25">
      <c r="A8" s="35" t="s">
        <v>8</v>
      </c>
      <c r="B8" s="52"/>
      <c r="E8" s="161"/>
      <c r="F8" s="54"/>
      <c r="G8" s="54"/>
      <c r="H8" s="54"/>
    </row>
    <row r="9" spans="1:8" ht="17.25">
      <c r="A9" s="37"/>
      <c r="B9" s="53"/>
      <c r="E9" s="161"/>
      <c r="F9" s="54"/>
      <c r="G9" s="54"/>
      <c r="H9" s="54"/>
    </row>
    <row r="10" spans="1:8" ht="17.25">
      <c r="A10" s="35" t="s">
        <v>7</v>
      </c>
      <c r="B10" s="52"/>
      <c r="E10" s="161"/>
      <c r="F10" s="54"/>
      <c r="G10" s="54"/>
      <c r="H10" s="54"/>
    </row>
    <row r="11" spans="1:8" ht="17.25">
      <c r="A11" s="35" t="s">
        <v>8</v>
      </c>
      <c r="B11" s="52"/>
      <c r="E11" s="161"/>
      <c r="F11" s="54"/>
      <c r="G11" s="54"/>
      <c r="H11" s="54"/>
    </row>
    <row r="12" spans="1:8" ht="17.25">
      <c r="A12" s="37"/>
      <c r="B12" s="53"/>
      <c r="E12" s="161"/>
      <c r="F12" s="54"/>
      <c r="G12" s="54"/>
      <c r="H12" s="54"/>
    </row>
    <row r="13" spans="1:8" ht="17.25">
      <c r="A13" s="35" t="s">
        <v>7</v>
      </c>
      <c r="B13" s="52"/>
      <c r="E13" s="162"/>
      <c r="F13" s="54"/>
      <c r="G13" s="54"/>
      <c r="H13" s="54"/>
    </row>
    <row r="14" spans="1:8" ht="17.25">
      <c r="A14" s="35" t="s">
        <v>8</v>
      </c>
      <c r="B14" s="52"/>
      <c r="E14" s="160" t="s">
        <v>22</v>
      </c>
      <c r="F14" s="55"/>
      <c r="G14" s="55"/>
      <c r="H14" s="55"/>
    </row>
    <row r="15" spans="1:8" ht="18" customHeight="1">
      <c r="A15" s="37"/>
      <c r="B15" s="53"/>
      <c r="E15" s="161"/>
      <c r="F15" s="55"/>
      <c r="G15" s="55"/>
      <c r="H15" s="55"/>
    </row>
    <row r="16" spans="1:8" ht="17.25">
      <c r="A16" s="35" t="s">
        <v>7</v>
      </c>
      <c r="B16" s="52"/>
      <c r="E16" s="161"/>
      <c r="F16" s="55"/>
      <c r="G16" s="55"/>
      <c r="H16" s="55"/>
    </row>
    <row r="17" spans="1:8" ht="17.25">
      <c r="A17" s="35" t="s">
        <v>8</v>
      </c>
      <c r="B17" s="52"/>
      <c r="E17" s="161"/>
      <c r="F17" s="55"/>
      <c r="G17" s="55"/>
      <c r="H17" s="55"/>
    </row>
    <row r="18" spans="1:8" ht="17.25">
      <c r="A18" s="37"/>
      <c r="B18" s="53"/>
      <c r="E18" s="161"/>
      <c r="F18" s="55"/>
      <c r="G18" s="55"/>
      <c r="H18" s="55"/>
    </row>
    <row r="19" spans="1:8" ht="17.25">
      <c r="A19" s="35" t="s">
        <v>7</v>
      </c>
      <c r="B19" s="52"/>
      <c r="E19" s="161"/>
      <c r="F19" s="55"/>
      <c r="G19" s="55"/>
      <c r="H19" s="55"/>
    </row>
    <row r="20" spans="1:8" ht="17.25" customHeight="1">
      <c r="A20" s="35" t="s">
        <v>8</v>
      </c>
      <c r="B20" s="52"/>
      <c r="E20" s="161"/>
      <c r="F20" s="56"/>
      <c r="G20" s="56"/>
      <c r="H20" s="56"/>
    </row>
    <row r="21" spans="1:8" ht="16.5" customHeight="1">
      <c r="A21" s="37"/>
      <c r="B21" s="53"/>
      <c r="E21" s="161"/>
      <c r="F21" s="56"/>
      <c r="G21" s="56"/>
      <c r="H21" s="56"/>
    </row>
    <row r="22" spans="1:8" ht="16.5" customHeight="1">
      <c r="A22" s="35" t="s">
        <v>7</v>
      </c>
      <c r="B22" s="52"/>
      <c r="E22" s="161"/>
      <c r="F22" s="56"/>
      <c r="G22" s="56"/>
      <c r="H22" s="56"/>
    </row>
    <row r="23" spans="1:8" ht="16.5" customHeight="1">
      <c r="A23" s="35" t="s">
        <v>8</v>
      </c>
      <c r="B23" s="52"/>
      <c r="E23" s="162"/>
      <c r="F23" s="56"/>
      <c r="G23" s="56"/>
      <c r="H23" s="56"/>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sheetData>
  <sheetProtection algorithmName="SHA-512" hashValue="aRbNViEaSJiw1+Hlvbo0H7sLrINLyg0VWD3/c2Qv2ACnGi9eCdYzsMXCnEl9Z96WNxV4HCFQvfbyEnnRCYp9fQ==" saltValue="AUlakz/5qgtCrm5BjMca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62"/>
  <sheetViews>
    <sheetView workbookViewId="0">
      <selection activeCell="G2" sqref="G2"/>
    </sheetView>
  </sheetViews>
  <sheetFormatPr defaultRowHeight="13.5"/>
  <cols>
    <col min="1" max="1" width="14.625" customWidth="1"/>
    <col min="2" max="2" width="114.125" customWidth="1"/>
    <col min="6" max="6" width="34.125" customWidth="1"/>
    <col min="7" max="7" width="34.375" customWidth="1"/>
    <col min="8" max="8" width="21.625" customWidth="1"/>
    <col min="9" max="9" width="27.25" customWidth="1"/>
  </cols>
  <sheetData>
    <row r="1" spans="1:8" ht="17.25">
      <c r="A1" s="35" t="s">
        <v>7</v>
      </c>
      <c r="B1" s="52"/>
      <c r="E1" s="39" t="s">
        <v>16</v>
      </c>
      <c r="F1" s="39" t="s">
        <v>30</v>
      </c>
      <c r="G1" s="40" t="s">
        <v>69</v>
      </c>
      <c r="H1" s="41"/>
    </row>
    <row r="2" spans="1:8" ht="17.25">
      <c r="A2" s="35" t="s">
        <v>8</v>
      </c>
      <c r="B2" s="52"/>
      <c r="E2" s="39" t="s">
        <v>17</v>
      </c>
      <c r="F2" s="39" t="s">
        <v>57</v>
      </c>
      <c r="G2" s="42"/>
      <c r="H2" s="43"/>
    </row>
    <row r="3" spans="1:8" ht="16.5">
      <c r="A3" s="37"/>
      <c r="B3" s="53"/>
      <c r="E3" s="44" t="s">
        <v>18</v>
      </c>
      <c r="F3" s="45" t="s">
        <v>19</v>
      </c>
      <c r="G3" s="46" t="s">
        <v>20</v>
      </c>
      <c r="H3" s="46" t="s">
        <v>24</v>
      </c>
    </row>
    <row r="4" spans="1:8" ht="17.25">
      <c r="A4" s="35" t="s">
        <v>7</v>
      </c>
      <c r="B4" s="52"/>
      <c r="E4" s="160" t="s">
        <v>21</v>
      </c>
      <c r="F4" s="54"/>
      <c r="G4" s="54"/>
      <c r="H4" s="54"/>
    </row>
    <row r="5" spans="1:8" ht="17.25">
      <c r="A5" s="35" t="s">
        <v>8</v>
      </c>
      <c r="B5" s="52"/>
      <c r="E5" s="161"/>
      <c r="F5" s="54"/>
      <c r="G5" s="54"/>
      <c r="H5" s="54"/>
    </row>
    <row r="6" spans="1:8" ht="17.25">
      <c r="A6" s="37"/>
      <c r="B6" s="53"/>
      <c r="E6" s="161"/>
      <c r="F6" s="54"/>
      <c r="G6" s="54"/>
      <c r="H6" s="54"/>
    </row>
    <row r="7" spans="1:8" ht="17.25">
      <c r="A7" s="35" t="s">
        <v>7</v>
      </c>
      <c r="B7" s="52"/>
      <c r="E7" s="161"/>
      <c r="F7" s="54"/>
      <c r="G7" s="54"/>
      <c r="H7" s="54"/>
    </row>
    <row r="8" spans="1:8" ht="17.25">
      <c r="A8" s="35" t="s">
        <v>8</v>
      </c>
      <c r="B8" s="52"/>
      <c r="E8" s="161"/>
      <c r="F8" s="54"/>
      <c r="G8" s="54"/>
      <c r="H8" s="54"/>
    </row>
    <row r="9" spans="1:8" ht="17.25">
      <c r="A9" s="37"/>
      <c r="B9" s="53"/>
      <c r="E9" s="161"/>
      <c r="F9" s="54"/>
      <c r="G9" s="54"/>
      <c r="H9" s="54"/>
    </row>
    <row r="10" spans="1:8" ht="17.25">
      <c r="A10" s="35" t="s">
        <v>7</v>
      </c>
      <c r="B10" s="52"/>
      <c r="E10" s="161"/>
      <c r="F10" s="54"/>
      <c r="G10" s="54"/>
      <c r="H10" s="54"/>
    </row>
    <row r="11" spans="1:8" ht="17.25">
      <c r="A11" s="35" t="s">
        <v>8</v>
      </c>
      <c r="B11" s="52"/>
      <c r="E11" s="161"/>
      <c r="F11" s="54"/>
      <c r="G11" s="54"/>
      <c r="H11" s="54"/>
    </row>
    <row r="12" spans="1:8" ht="17.25">
      <c r="A12" s="37"/>
      <c r="B12" s="53"/>
      <c r="E12" s="161"/>
      <c r="F12" s="54"/>
      <c r="G12" s="54"/>
      <c r="H12" s="54"/>
    </row>
    <row r="13" spans="1:8" ht="17.25">
      <c r="A13" s="35" t="s">
        <v>7</v>
      </c>
      <c r="B13" s="52"/>
      <c r="E13" s="162"/>
      <c r="F13" s="54"/>
      <c r="G13" s="54"/>
      <c r="H13" s="54"/>
    </row>
    <row r="14" spans="1:8" ht="17.25">
      <c r="A14" s="35" t="s">
        <v>8</v>
      </c>
      <c r="B14" s="52"/>
      <c r="E14" s="160" t="s">
        <v>22</v>
      </c>
      <c r="F14" s="55"/>
      <c r="G14" s="55"/>
      <c r="H14" s="55"/>
    </row>
    <row r="15" spans="1:8" ht="18" customHeight="1">
      <c r="A15" s="37"/>
      <c r="B15" s="53"/>
      <c r="E15" s="161"/>
      <c r="F15" s="55"/>
      <c r="G15" s="55"/>
      <c r="H15" s="55"/>
    </row>
    <row r="16" spans="1:8" ht="17.25">
      <c r="A16" s="35" t="s">
        <v>7</v>
      </c>
      <c r="B16" s="52"/>
      <c r="E16" s="161"/>
      <c r="F16" s="55"/>
      <c r="G16" s="55"/>
      <c r="H16" s="55"/>
    </row>
    <row r="17" spans="1:8" ht="17.25">
      <c r="A17" s="35" t="s">
        <v>8</v>
      </c>
      <c r="B17" s="52"/>
      <c r="E17" s="161"/>
      <c r="F17" s="55"/>
      <c r="G17" s="55"/>
      <c r="H17" s="55"/>
    </row>
    <row r="18" spans="1:8" ht="17.25">
      <c r="A18" s="37"/>
      <c r="B18" s="53"/>
      <c r="E18" s="161"/>
      <c r="F18" s="55"/>
      <c r="G18" s="55"/>
      <c r="H18" s="55"/>
    </row>
    <row r="19" spans="1:8" ht="17.25">
      <c r="A19" s="35" t="s">
        <v>7</v>
      </c>
      <c r="B19" s="52"/>
      <c r="E19" s="161"/>
      <c r="F19" s="55"/>
      <c r="G19" s="55"/>
      <c r="H19" s="55"/>
    </row>
    <row r="20" spans="1:8" ht="17.25" customHeight="1">
      <c r="A20" s="35" t="s">
        <v>8</v>
      </c>
      <c r="B20" s="52"/>
      <c r="E20" s="161"/>
      <c r="F20" s="56"/>
      <c r="G20" s="56"/>
      <c r="H20" s="56"/>
    </row>
    <row r="21" spans="1:8" ht="16.5" customHeight="1">
      <c r="A21" s="37"/>
      <c r="B21" s="53"/>
      <c r="E21" s="161"/>
      <c r="F21" s="56"/>
      <c r="G21" s="56"/>
      <c r="H21" s="56"/>
    </row>
    <row r="22" spans="1:8" ht="16.5" customHeight="1">
      <c r="A22" s="35" t="s">
        <v>7</v>
      </c>
      <c r="B22" s="52"/>
      <c r="E22" s="161"/>
      <c r="F22" s="56"/>
      <c r="G22" s="56"/>
      <c r="H22" s="56"/>
    </row>
    <row r="23" spans="1:8" ht="16.5" customHeight="1">
      <c r="A23" s="35" t="s">
        <v>8</v>
      </c>
      <c r="B23" s="52"/>
      <c r="E23" s="162"/>
      <c r="F23" s="56"/>
      <c r="G23" s="56"/>
      <c r="H23" s="56"/>
    </row>
    <row r="24" spans="1:8" ht="16.5" customHeight="1">
      <c r="A24" s="37"/>
      <c r="B24" s="53"/>
    </row>
    <row r="25" spans="1:8" ht="16.5">
      <c r="A25" s="35" t="s">
        <v>7</v>
      </c>
      <c r="B25" s="52"/>
    </row>
    <row r="26" spans="1:8" ht="16.5">
      <c r="A26" s="35" t="s">
        <v>8</v>
      </c>
      <c r="B26" s="52"/>
    </row>
    <row r="27" spans="1:8" ht="16.5">
      <c r="A27" s="37"/>
      <c r="B27" s="53"/>
    </row>
    <row r="28" spans="1:8" ht="16.5">
      <c r="A28" s="35" t="s">
        <v>7</v>
      </c>
      <c r="B28" s="52"/>
    </row>
    <row r="29" spans="1:8" ht="16.5">
      <c r="A29" s="35" t="s">
        <v>8</v>
      </c>
      <c r="B29" s="52"/>
    </row>
    <row r="30" spans="1:8" ht="16.5">
      <c r="A30" s="37"/>
      <c r="B30" s="53"/>
    </row>
    <row r="31" spans="1:8" ht="16.5">
      <c r="A31" s="35" t="s">
        <v>7</v>
      </c>
      <c r="B31" s="52"/>
    </row>
    <row r="32" spans="1:8" ht="16.5">
      <c r="A32" s="35" t="s">
        <v>8</v>
      </c>
      <c r="B32" s="52"/>
    </row>
    <row r="33" spans="1:2" ht="16.5">
      <c r="A33" s="37"/>
      <c r="B33" s="53"/>
    </row>
    <row r="34" spans="1:2" ht="16.5">
      <c r="A34" s="35" t="s">
        <v>7</v>
      </c>
      <c r="B34" s="52"/>
    </row>
    <row r="35" spans="1:2" ht="16.5">
      <c r="A35" s="35" t="s">
        <v>8</v>
      </c>
      <c r="B35" s="52"/>
    </row>
    <row r="36" spans="1:2" ht="16.5">
      <c r="A36" s="37"/>
      <c r="B36" s="53"/>
    </row>
    <row r="37" spans="1:2" ht="16.5">
      <c r="A37" s="35" t="s">
        <v>7</v>
      </c>
      <c r="B37" s="52"/>
    </row>
    <row r="38" spans="1:2" ht="16.5">
      <c r="A38" s="35" t="s">
        <v>8</v>
      </c>
      <c r="B38" s="52"/>
    </row>
    <row r="39" spans="1:2" ht="16.5">
      <c r="A39" s="37"/>
      <c r="B39" s="53"/>
    </row>
    <row r="40" spans="1:2" ht="16.5">
      <c r="A40" s="35" t="s">
        <v>7</v>
      </c>
      <c r="B40" s="52"/>
    </row>
    <row r="41" spans="1:2" ht="16.5">
      <c r="A41" s="35" t="s">
        <v>8</v>
      </c>
      <c r="B41" s="52"/>
    </row>
    <row r="42" spans="1:2" ht="16.5">
      <c r="A42" s="37"/>
      <c r="B42" s="53"/>
    </row>
    <row r="43" spans="1:2" ht="16.5">
      <c r="A43" s="35" t="s">
        <v>7</v>
      </c>
      <c r="B43" s="52"/>
    </row>
    <row r="44" spans="1:2" ht="16.5">
      <c r="A44" s="35" t="s">
        <v>8</v>
      </c>
      <c r="B44" s="52"/>
    </row>
    <row r="45" spans="1:2" ht="16.5">
      <c r="A45" s="37"/>
      <c r="B45" s="53"/>
    </row>
    <row r="46" spans="1:2" ht="16.5">
      <c r="A46" s="35" t="s">
        <v>7</v>
      </c>
      <c r="B46" s="52"/>
    </row>
    <row r="47" spans="1:2" ht="16.5">
      <c r="A47" s="35" t="s">
        <v>8</v>
      </c>
      <c r="B47" s="52"/>
    </row>
    <row r="48" spans="1:2" ht="16.5">
      <c r="A48" s="37"/>
      <c r="B48" s="53"/>
    </row>
    <row r="49" spans="1:2" ht="16.5">
      <c r="A49" s="35" t="s">
        <v>7</v>
      </c>
      <c r="B49" s="52"/>
    </row>
    <row r="50" spans="1:2" ht="16.5">
      <c r="A50" s="35" t="s">
        <v>8</v>
      </c>
      <c r="B50" s="52"/>
    </row>
    <row r="51" spans="1:2" ht="16.5">
      <c r="A51" s="37"/>
      <c r="B51" s="53"/>
    </row>
    <row r="52" spans="1:2" ht="16.5">
      <c r="A52" s="35" t="s">
        <v>7</v>
      </c>
      <c r="B52" s="52"/>
    </row>
    <row r="53" spans="1:2" ht="16.5">
      <c r="A53" s="35" t="s">
        <v>8</v>
      </c>
      <c r="B53" s="52"/>
    </row>
    <row r="54" spans="1:2" ht="16.5">
      <c r="A54" s="37"/>
      <c r="B54" s="53"/>
    </row>
    <row r="55" spans="1:2" ht="16.5">
      <c r="A55" s="35" t="s">
        <v>7</v>
      </c>
      <c r="B55" s="52"/>
    </row>
    <row r="56" spans="1:2" ht="16.5">
      <c r="A56" s="35" t="s">
        <v>8</v>
      </c>
      <c r="B56" s="52"/>
    </row>
    <row r="57" spans="1:2" ht="16.5">
      <c r="A57" s="37"/>
      <c r="B57" s="53"/>
    </row>
    <row r="58" spans="1:2" ht="16.5">
      <c r="A58" s="35" t="s">
        <v>7</v>
      </c>
      <c r="B58" s="52"/>
    </row>
    <row r="59" spans="1:2" ht="16.5">
      <c r="A59" s="35" t="s">
        <v>8</v>
      </c>
      <c r="B59" s="52"/>
    </row>
    <row r="60" spans="1:2" ht="16.5">
      <c r="A60" s="37"/>
      <c r="B60" s="53"/>
    </row>
    <row r="61" spans="1:2" ht="16.5">
      <c r="A61" s="35" t="s">
        <v>7</v>
      </c>
      <c r="B61" s="52"/>
    </row>
    <row r="62" spans="1:2" ht="16.5">
      <c r="A62" s="35" t="s">
        <v>8</v>
      </c>
      <c r="B62" s="52"/>
    </row>
  </sheetData>
  <sheetProtection algorithmName="SHA-512" hashValue="aRbNViEaSJiw1+Hlvbo0H7sLrINLyg0VWD3/c2Qv2ACnGi9eCdYzsMXCnEl9Z96WNxV4HCFQvfbyEnnRCYp9fQ==" saltValue="AUlakz/5qgtCrm5BjMcaYA==" spinCount="100000" sheet="1" formatCells="0" formatColumns="0" formatRows="0" insertColumns="0" insertRows="0" insertHyperlinks="0" deleteColumns="0" deleteRows="0" selectLockedCells="1" sort="0" autoFilter="0" pivotTables="0"/>
  <mergeCells count="2">
    <mergeCell ref="E4:E13"/>
    <mergeCell ref="E14:E23"/>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lcd check</vt:lpstr>
      <vt:lpstr>使用指南</vt:lpstr>
      <vt:lpstr>rootuser</vt:lpstr>
      <vt:lpstr>data</vt:lpstr>
      <vt:lpstr>A1</vt:lpstr>
      <vt:lpstr>A2</vt:lpstr>
      <vt:lpstr>A3</vt:lpstr>
      <vt:lpstr>A4</vt:lpstr>
      <vt:lpstr>A5</vt:lpstr>
      <vt:lpstr>A6</vt:lpstr>
      <vt:lpstr>A7</vt:lpstr>
      <vt:lpstr>A8</vt:lpstr>
      <vt:lpstr>A9</vt:lpstr>
      <vt:lpstr>A10</vt:lpstr>
      <vt:lpstr>A11</vt:lpstr>
      <vt:lpstr>A12</vt:lpstr>
      <vt:lpstr>A13</vt:lpstr>
      <vt:lpstr>A14</vt:lpstr>
      <vt:lpstr>A15</vt:lpstr>
      <vt:lpstr>QT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Liu, Meili (刘美丽)</cp:lastModifiedBy>
  <dcterms:created xsi:type="dcterms:W3CDTF">2006-09-16T00:00:00Z</dcterms:created>
  <dcterms:modified xsi:type="dcterms:W3CDTF">2020-05-25T07:19:09Z</dcterms:modified>
</cp:coreProperties>
</file>